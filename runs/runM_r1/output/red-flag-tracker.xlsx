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d Flag Tracker" sheetId="2" state="visible" r:id="rId2"/>
    <sheet xmlns:r="http://schemas.openxmlformats.org/officeDocument/2006/relationships" name="Financial Analysis" sheetId="3" state="visible" r:id="rId3"/>
    <sheet xmlns:r="http://schemas.openxmlformats.org/officeDocument/2006/relationships" name="Environmental Summary" sheetId="4" state="visible" r:id="rId4"/>
    <sheet xmlns:r="http://schemas.openxmlformats.org/officeDocument/2006/relationships" name="Contract Risk Matrix" sheetId="5" state="visible" r:id="rId5"/>
    <sheet xmlns:r="http://schemas.openxmlformats.org/officeDocument/2006/relationships" name="Liability Register" sheetId="6" state="visible" r:id="rId6"/>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8"/>
    </font>
    <font>
      <name val="Calibri"/>
      <color rgb="00FFFFFF"/>
      <sz val="12"/>
    </font>
    <font>
      <name val="Calibri"/>
      <b val="1"/>
      <sz val="10"/>
    </font>
    <font>
      <name val="Calibri"/>
      <sz val="10"/>
    </font>
    <font>
      <name val="Calibri"/>
      <b val="1"/>
      <color rgb="001F3864"/>
      <sz val="11"/>
    </font>
    <font>
      <name val="Calibri"/>
      <b val="1"/>
      <color rgb="002F5496"/>
      <sz val="10"/>
    </font>
    <font>
      <name val="Calibri"/>
      <b val="1"/>
      <color rgb="00FFFFFF"/>
      <sz val="14"/>
    </font>
    <font>
      <name val="Calibri"/>
      <color rgb="00FFFFFF"/>
      <sz val="10"/>
    </font>
    <font>
      <name val="Calibri"/>
      <b val="1"/>
      <color rgb="00FFFFFF"/>
      <sz val="10"/>
    </font>
    <font>
      <name val="Calibri"/>
      <b val="1"/>
      <color rgb="00FFFFFF"/>
      <sz val="11"/>
    </font>
    <font>
      <name val="Calibri"/>
      <b val="1"/>
      <color rgb="00C00000"/>
      <sz val="10"/>
    </font>
    <font>
      <name val="Calibri"/>
      <b val="1"/>
      <color rgb="00FF6600"/>
      <sz val="10"/>
    </font>
    <font>
      <name val="Calibri"/>
      <b val="1"/>
      <color rgb="00BF8F00"/>
      <sz val="10"/>
    </font>
    <font>
      <name val="Calibri"/>
      <b val="1"/>
      <color rgb="00FFFFFF"/>
      <sz val="13"/>
    </font>
    <font>
      <name val="Calibri"/>
      <b val="1"/>
      <color rgb="00375623"/>
      <sz val="10"/>
    </font>
    <font>
      <name val="Calibri"/>
      <color rgb="00808080"/>
      <sz val="10"/>
    </font>
    <font>
      <name val="Calibri"/>
      <i val="1"/>
      <sz val="9"/>
    </font>
  </fonts>
  <fills count="13">
    <fill>
      <patternFill/>
    </fill>
    <fill>
      <patternFill patternType="gray125"/>
    </fill>
    <fill>
      <patternFill patternType="solid">
        <fgColor rgb="001F3864"/>
      </patternFill>
    </fill>
    <fill>
      <patternFill patternType="solid">
        <fgColor rgb="002F5496"/>
      </patternFill>
    </fill>
    <fill>
      <patternFill patternType="solid">
        <fgColor rgb="00F2F2F2"/>
      </patternFill>
    </fill>
    <fill>
      <patternFill patternType="solid">
        <fgColor rgb="00C00000"/>
      </patternFill>
    </fill>
    <fill>
      <patternFill patternType="solid">
        <fgColor rgb="00FFE0E0"/>
      </patternFill>
    </fill>
    <fill>
      <patternFill patternType="solid">
        <fgColor rgb="00FF6600"/>
      </patternFill>
    </fill>
    <fill>
      <patternFill patternType="solid">
        <fgColor rgb="00FFF0E0"/>
      </patternFill>
    </fill>
    <fill>
      <patternFill patternType="solid">
        <fgColor rgb="00BF8F00"/>
      </patternFill>
    </fill>
    <fill>
      <patternFill patternType="solid">
        <fgColor rgb="00FFFDE0"/>
      </patternFill>
    </fill>
    <fill>
      <patternFill patternType="solid">
        <fgColor rgb="00D6E4F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4" fillId="0" borderId="1" applyAlignment="1" pivotButton="0" quotePrefix="0" xfId="0">
      <alignment horizontal="left" vertical="center"/>
    </xf>
    <xf numFmtId="0" fontId="5" fillId="0" borderId="0" pivotButton="0" quotePrefix="0" xfId="0"/>
    <xf numFmtId="0" fontId="6" fillId="0" borderId="1" applyAlignment="1" pivotButton="0" quotePrefix="0" xfId="0">
      <alignment horizontal="left" vertical="center"/>
    </xf>
    <xf numFmtId="0" fontId="7" fillId="2" borderId="0" applyAlignment="1" pivotButton="0" quotePrefix="0" xfId="0">
      <alignment horizontal="center" vertical="center"/>
    </xf>
    <xf numFmtId="0" fontId="8" fillId="3" borderId="0" applyAlignment="1" pivotButton="0" quotePrefix="0" xfId="0">
      <alignment horizontal="center" vertical="center"/>
    </xf>
    <xf numFmtId="0" fontId="9" fillId="2" borderId="1" applyAlignment="1" pivotButton="0" quotePrefix="0" xfId="0">
      <alignment horizontal="center" vertical="center" wrapText="1"/>
    </xf>
    <xf numFmtId="0" fontId="10" fillId="5" borderId="1" applyAlignment="1" pivotButton="0" quotePrefix="0" xfId="0">
      <alignment horizontal="center" vertical="center" wrapText="1"/>
    </xf>
    <xf numFmtId="0" fontId="4" fillId="4" borderId="1" applyAlignment="1" pivotButton="0" quotePrefix="0" xfId="0">
      <alignment horizontal="left" vertical="top" wrapText="1"/>
    </xf>
    <xf numFmtId="0" fontId="9"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11" fillId="6" borderId="1" applyAlignment="1" pivotButton="0" quotePrefix="0" xfId="0">
      <alignment horizontal="center" vertical="center" wrapText="1"/>
    </xf>
    <xf numFmtId="0" fontId="4" fillId="0" borderId="1" applyAlignment="1" pivotButton="0" quotePrefix="0" xfId="0">
      <alignment horizontal="left" vertical="top" wrapText="1"/>
    </xf>
    <xf numFmtId="0" fontId="10" fillId="7" borderId="1" applyAlignment="1" pivotButton="0" quotePrefix="0" xfId="0">
      <alignment horizontal="center" vertical="center" wrapText="1"/>
    </xf>
    <xf numFmtId="0" fontId="9"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2" borderId="0" applyAlignment="1" pivotButton="0" quotePrefix="0" xfId="0">
      <alignment horizontal="center" vertical="center"/>
    </xf>
    <xf numFmtId="0" fontId="5" fillId="11" borderId="0" pivotButton="0" quotePrefix="0" xfId="0"/>
    <xf numFmtId="0" fontId="9" fillId="3" borderId="1" applyAlignment="1" pivotButton="0" quotePrefix="0" xfId="0">
      <alignment horizontal="center" vertical="center" wrapText="1"/>
    </xf>
    <xf numFmtId="0" fontId="4" fillId="0" borderId="1" applyAlignment="1" pivotButton="0" quotePrefix="0" xfId="0">
      <alignment horizontal="left" vertical="center" wrapText="1"/>
    </xf>
    <xf numFmtId="3" fontId="4" fillId="0" borderId="1" applyAlignment="1" pivotButton="0" quotePrefix="0" xfId="0">
      <alignment horizontal="left" vertical="center" wrapText="1"/>
    </xf>
    <xf numFmtId="0" fontId="3" fillId="4" borderId="1" applyAlignment="1" pivotButton="0" quotePrefix="0" xfId="0">
      <alignment horizontal="left" vertical="center" wrapText="1"/>
    </xf>
    <xf numFmtId="3" fontId="3" fillId="4" borderId="1" applyAlignment="1" pivotButton="0" quotePrefix="0" xfId="0">
      <alignment horizontal="left" vertical="center" wrapText="1"/>
    </xf>
    <xf numFmtId="0" fontId="11" fillId="6" borderId="1" applyAlignment="1" pivotButton="0" quotePrefix="0" xfId="0">
      <alignment horizontal="left" vertical="center" wrapText="1"/>
    </xf>
    <xf numFmtId="3" fontId="11" fillId="6" borderId="1" applyAlignment="1" pivotButton="0" quotePrefix="0" xfId="0">
      <alignment horizontal="left" vertical="center" wrapText="1"/>
    </xf>
    <xf numFmtId="0" fontId="4" fillId="4" borderId="1" applyAlignment="1" pivotButton="0" quotePrefix="0" xfId="0">
      <alignment horizontal="left" vertical="center"/>
    </xf>
    <xf numFmtId="3" fontId="4" fillId="4" borderId="1" applyAlignment="1" pivotButton="0" quotePrefix="0" xfId="0">
      <alignment horizontal="left" vertical="center"/>
    </xf>
    <xf numFmtId="3" fontId="4" fillId="0" borderId="1" applyAlignment="1" pivotButton="0" quotePrefix="0" xfId="0">
      <alignment horizontal="left" vertical="center"/>
    </xf>
    <xf numFmtId="3" fontId="11" fillId="6" borderId="1" applyAlignment="1" pivotButton="0" quotePrefix="0" xfId="0">
      <alignment horizontal="left" vertical="center"/>
    </xf>
    <xf numFmtId="0" fontId="11" fillId="6" borderId="1" applyAlignment="1" pivotButton="0" quotePrefix="0" xfId="0">
      <alignment horizontal="left" vertical="center"/>
    </xf>
    <xf numFmtId="0" fontId="15" fillId="12" borderId="1" applyAlignment="1" pivotButton="0" quotePrefix="0" xfId="0">
      <alignment horizontal="center" vertical="center" wrapText="1"/>
    </xf>
    <xf numFmtId="0" fontId="11" fillId="6" borderId="1" applyAlignment="1" pivotButton="0" quotePrefix="0" xfId="0">
      <alignment horizontal="left" vertical="top" wrapText="1"/>
    </xf>
    <xf numFmtId="164" fontId="4" fillId="0" borderId="1" applyAlignment="1" pivotButton="0" quotePrefix="0" xfId="0">
      <alignment horizontal="right" vertical="top"/>
    </xf>
    <xf numFmtId="165" fontId="16" fillId="0" borderId="1" applyAlignment="1" pivotButton="0" quotePrefix="0" xfId="0">
      <alignment horizontal="right" vertical="top"/>
    </xf>
    <xf numFmtId="165" fontId="4" fillId="0" borderId="1" applyAlignment="1" pivotButton="0" quotePrefix="0" xfId="0">
      <alignment horizontal="right" vertical="top"/>
    </xf>
    <xf numFmtId="0" fontId="3" fillId="4" borderId="1" applyAlignment="1" pivotButton="0" quotePrefix="0" xfId="0">
      <alignment horizontal="left" vertical="top" wrapText="1"/>
    </xf>
    <xf numFmtId="0" fontId="0" fillId="4" borderId="1" pivotButton="0" quotePrefix="0" xfId="0"/>
    <xf numFmtId="165" fontId="3" fillId="4" borderId="1" applyAlignment="1" pivotButton="0" quotePrefix="0" xfId="0">
      <alignment horizontal="right" vertical="center"/>
    </xf>
    <xf numFmtId="0" fontId="17"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20"/>
  <sheetViews>
    <sheetView showGridLines="0" workbookViewId="0">
      <selection activeCell="A1" sqref="A1"/>
    </sheetView>
  </sheetViews>
  <sheetFormatPr baseColWidth="8" defaultRowHeight="15"/>
  <cols>
    <col width="5" customWidth="1" min="1" max="1"/>
    <col width="35" customWidth="1" min="2" max="2"/>
    <col width="45" customWidth="1" min="3" max="3"/>
    <col width="20" customWidth="1" min="4" max="4"/>
  </cols>
  <sheetData>
    <row r="2" ht="40" customHeight="1">
      <c r="B2" s="1" t="inlineStr">
        <is>
          <t>PROJECT RIDGELINE — DILIGENCE RED FLAG TRACKER</t>
        </is>
      </c>
    </row>
    <row r="3" ht="22" customHeight="1">
      <c r="B3" s="2" t="inlineStr">
        <is>
          <t>Acquisition of Ridgeline Environmental Services, Inc.</t>
        </is>
      </c>
    </row>
    <row r="5" ht="18" customHeight="1">
      <c r="B5" s="3" t="inlineStr">
        <is>
          <t>Prepared for:</t>
        </is>
      </c>
      <c r="C5" s="4" t="inlineStr">
        <is>
          <t>Sycamore Capital Partners, LP</t>
        </is>
      </c>
    </row>
    <row r="6" ht="18" customHeight="1">
      <c r="B6" s="3" t="inlineStr">
        <is>
          <t>Prepared by:</t>
        </is>
      </c>
      <c r="C6" s="4" t="inlineStr">
        <is>
          <t>Diligence Review Team</t>
        </is>
      </c>
    </row>
    <row r="7" ht="18" customHeight="1">
      <c r="B7" s="3" t="inlineStr">
        <is>
          <t>Date:</t>
        </is>
      </c>
      <c r="C7" s="4" t="inlineStr">
        <is>
          <t>December 2024</t>
        </is>
      </c>
    </row>
    <row r="8" ht="18" customHeight="1">
      <c r="B8" s="3" t="inlineStr">
        <is>
          <t>Data Room Cutoff:</t>
        </is>
      </c>
      <c r="C8" s="4" t="inlineStr">
        <is>
          <t>December 15, 2024</t>
        </is>
      </c>
    </row>
    <row r="9" ht="18" customHeight="1">
      <c r="B9" s="3" t="inlineStr">
        <is>
          <t>Total Red Flags Identified:</t>
        </is>
      </c>
      <c r="C9" s="4" t="inlineStr">
        <is>
          <t>13</t>
        </is>
      </c>
    </row>
    <row r="10" ht="18" customHeight="1">
      <c r="B10" s="3" t="inlineStr">
        <is>
          <t>Critical Severity:</t>
        </is>
      </c>
      <c r="C10" s="4" t="inlineStr">
        <is>
          <t>4</t>
        </is>
      </c>
    </row>
    <row r="11" ht="18" customHeight="1">
      <c r="B11" s="3" t="inlineStr">
        <is>
          <t>High Severity:</t>
        </is>
      </c>
      <c r="C11" s="4" t="inlineStr">
        <is>
          <t>7</t>
        </is>
      </c>
    </row>
    <row r="12" ht="18" customHeight="1">
      <c r="B12" s="3" t="inlineStr">
        <is>
          <t>Medium Severity:</t>
        </is>
      </c>
      <c r="C12" s="4" t="inlineStr">
        <is>
          <t>2</t>
        </is>
      </c>
    </row>
    <row r="14">
      <c r="B14" s="5" t="inlineStr">
        <is>
          <t>TAB INDEX</t>
        </is>
      </c>
    </row>
    <row r="15" ht="16" customHeight="1">
      <c r="B15" s="6" t="inlineStr">
        <is>
          <t>1. Cover</t>
        </is>
      </c>
      <c r="C15" s="4" t="inlineStr">
        <is>
          <t>Project metadata and navigation</t>
        </is>
      </c>
    </row>
    <row r="16" ht="16" customHeight="1">
      <c r="B16" s="6" t="inlineStr">
        <is>
          <t>2. Red Flag Tracker</t>
        </is>
      </c>
      <c r="C16" s="4" t="inlineStr">
        <is>
          <t>Master tracker: all 13 red flags with severity, exposure, status, and actions</t>
        </is>
      </c>
    </row>
    <row r="17" ht="16" customHeight="1">
      <c r="B17" s="6" t="inlineStr">
        <is>
          <t>3. Financial Analysis</t>
        </is>
      </c>
      <c r="C17" s="4" t="inlineStr">
        <is>
          <t>EBITDA bridge reconciliation and DOE revenue scenario analysis</t>
        </is>
      </c>
    </row>
    <row r="18" ht="16" customHeight="1">
      <c r="B18" s="6" t="inlineStr">
        <is>
          <t>4. Environmental Summary</t>
        </is>
      </c>
      <c r="C18" s="4" t="inlineStr">
        <is>
          <t>Environmental permit status and contamination exposure summary</t>
        </is>
      </c>
    </row>
    <row r="19" ht="16" customHeight="1">
      <c r="B19" s="6" t="inlineStr">
        <is>
          <t>5. Contract Risk Matrix</t>
        </is>
      </c>
      <c r="C19" s="4" t="inlineStr">
        <is>
          <t>Customer contract assignment and change-of-control provisions</t>
        </is>
      </c>
    </row>
    <row r="20" ht="16" customHeight="1">
      <c r="B20" s="6" t="inlineStr">
        <is>
          <t>6. Liability Register</t>
        </is>
      </c>
      <c r="C20" s="4" t="inlineStr">
        <is>
          <t>Litigation, regulatory, and contingent liability summary</t>
        </is>
      </c>
    </row>
  </sheetData>
  <mergeCells count="2">
    <mergeCell ref="B3:D3"/>
    <mergeCell ref="B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showGridLines="0" workbookViewId="0">
      <pane ySplit="3" topLeftCell="A4" activePane="bottomLeft" state="frozen"/>
      <selection pane="bottomLeft" activeCell="A1" sqref="A1"/>
    </sheetView>
  </sheetViews>
  <sheetFormatPr baseColWidth="8" defaultRowHeight="15"/>
  <cols>
    <col width="5" customWidth="1" min="1" max="1"/>
    <col width="28" customWidth="1" min="2" max="2"/>
    <col width="18" customWidth="1" min="3" max="3"/>
    <col width="12" customWidth="1" min="4" max="4"/>
    <col width="12" customWidth="1" min="5" max="5"/>
    <col width="22" customWidth="1" min="6" max="6"/>
    <col width="30" customWidth="1" min="7" max="7"/>
    <col width="30" customWidth="1" min="8" max="8"/>
    <col width="16" customWidth="1" min="9" max="9"/>
    <col width="18" customWidth="1" min="10" max="10"/>
    <col width="14" customWidth="1" min="11" max="11"/>
    <col width="20" customWidth="1" min="12" max="12"/>
  </cols>
  <sheetData>
    <row r="1" ht="30" customHeight="1">
      <c r="A1" s="7" t="inlineStr">
        <is>
          <t>PROJECT RIDGELINE — RED FLAG TRACKER</t>
        </is>
      </c>
    </row>
    <row r="2" ht="18" customHeight="1">
      <c r="A2" s="8" t="inlineStr">
        <is>
          <t>Ridgeline Environmental Services, Inc. | Prepared: December 2024 | Status: Open — Pre-Signing</t>
        </is>
      </c>
    </row>
    <row r="3" ht="36" customHeight="1">
      <c r="A3" s="9" t="inlineStr">
        <is>
          <t>#</t>
        </is>
      </c>
      <c r="B3" s="9" t="inlineStr">
        <is>
          <t>Red Flag Title</t>
        </is>
      </c>
      <c r="C3" s="9" t="inlineStr">
        <is>
          <t>Category</t>
        </is>
      </c>
      <c r="D3" s="9" t="inlineStr">
        <is>
          <t>Severity</t>
        </is>
      </c>
      <c r="E3" s="9" t="inlineStr">
        <is>
          <t>Likelihood
of Impact</t>
        </is>
      </c>
      <c r="F3" s="9" t="inlineStr">
        <is>
          <t>Est. Financial
Exposure</t>
        </is>
      </c>
      <c r="G3" s="9" t="inlineStr">
        <is>
          <t>Key Finding</t>
        </is>
      </c>
      <c r="H3" s="9" t="inlineStr">
        <is>
          <t>Required Action</t>
        </is>
      </c>
      <c r="I3" s="9" t="inlineStr">
        <is>
          <t>Status</t>
        </is>
      </c>
      <c r="J3" s="9" t="inlineStr">
        <is>
          <t>Owner</t>
        </is>
      </c>
      <c r="K3" s="9" t="inlineStr">
        <is>
          <t>Target
Resolution</t>
        </is>
      </c>
      <c r="L3" s="9" t="inlineStr">
        <is>
          <t>Source Documents</t>
        </is>
      </c>
    </row>
    <row r="4" ht="80" customHeight="1">
      <c r="A4" s="10" t="n">
        <v>1</v>
      </c>
      <c r="B4" s="11" t="inlineStr">
        <is>
          <t>EBITDA Discrepancy: CIM vs. QofE Data Package</t>
        </is>
      </c>
      <c r="C4" s="11" t="inlineStr">
        <is>
          <t>Financial / QofE</t>
        </is>
      </c>
      <c r="D4" s="12" t="inlineStr">
        <is>
          <t>CRITICAL</t>
        </is>
      </c>
      <c r="E4" s="13" t="inlineStr">
        <is>
          <t>High</t>
        </is>
      </c>
      <c r="F4" s="11" t="inlineStr">
        <is>
          <t>$8M–$40M valuation impact</t>
        </is>
      </c>
      <c r="G4" s="11" t="inlineStr">
        <is>
          <t>CIM states Adj. EBITDA $22.8M; QofE shows $23.8M — unreconciled $1.0M gap. Bank covenant EBITDA only $18.4M. $4.4M in add-backs disallowed under credit agreement. Owner comp normalization ($950K) assumes founders accept $400K each post-close.</t>
        </is>
      </c>
      <c r="H4" s="11" t="inlineStr">
        <is>
          <t>Demand reconciled EBITDA bridge before signing. Independently validate all add-backs. Confirm founder post-close comp. Assess litigation settlement receipt characterization.</t>
        </is>
      </c>
      <c r="I4" s="14" t="inlineStr">
        <is>
          <t>Open — Critical</t>
        </is>
      </c>
      <c r="J4" s="11" t="inlineStr">
        <is>
          <t>Bridgewater Forsyth Group</t>
        </is>
      </c>
      <c r="K4" s="11" t="inlineStr">
        <is>
          <t>Pre-Signing</t>
        </is>
      </c>
      <c r="L4" s="11" t="inlineStr">
        <is>
          <t>QofE EBITDA Bridge tab; CIM §VI.B; Credit Agreement Summary §4</t>
        </is>
      </c>
    </row>
    <row r="5" ht="80" customHeight="1">
      <c r="A5" s="10" t="n">
        <v>2</v>
      </c>
      <c r="B5" s="15" t="inlineStr">
        <is>
          <t>DOE IDIQ Ceiling Exhaustion: ~$12.1M FY2025 Revenue Headwind</t>
        </is>
      </c>
      <c r="C5" s="15" t="inlineStr">
        <is>
          <t>Commercial / Customer</t>
        </is>
      </c>
      <c r="D5" s="12" t="inlineStr">
        <is>
          <t>CRITICAL</t>
        </is>
      </c>
      <c r="E5" s="13" t="inlineStr">
        <is>
          <t>High</t>
        </is>
      </c>
      <c r="F5" s="15" t="inlineStr">
        <is>
          <t>~$12.1M revenue headwind (9.5% of total)</t>
        </is>
      </c>
      <c r="G5" s="15" t="inlineStr">
        <is>
          <t>DOE IDIQ Contract DE-EM-0005523 ($45M ceiling) is 72.7% consumed with only 61.7% of term elapsed. Remaining $12.3M ceiling exhausted ~Apr–May 2025 at current run rate. 16 months of unfunded contract period. Non-assignable per Anti-Assignment Act; novation notification required.</t>
        </is>
      </c>
      <c r="H5" s="15" t="inlineStr">
        <is>
          <t>Obtain DOE CO confirmation of ceiling modification prospects. Model revenue scenarios without ceiling increase. Adjust EV if ceiling exhaustion confirmed. Require specific rep/warranty on DOE contract status.</t>
        </is>
      </c>
      <c r="I5" s="14" t="inlineStr">
        <is>
          <t>Open — Critical</t>
        </is>
      </c>
      <c r="J5" s="15" t="inlineStr">
        <is>
          <t>Buyer Legal / DOE Liaison</t>
        </is>
      </c>
      <c r="K5" s="15" t="inlineStr">
        <is>
          <t>Pre-Signing</t>
        </is>
      </c>
      <c r="L5" s="15" t="inlineStr">
        <is>
          <t>Customer Contract Summary (DOE IDIQ tab); CIM §VIII.A; QofE Revenue by Customer tab</t>
        </is>
      </c>
    </row>
    <row r="6" ht="80" customHeight="1">
      <c r="A6" s="10" t="n">
        <v>3</v>
      </c>
      <c r="B6" s="11" t="inlineStr">
        <is>
          <t>Grand Junction Environmental Contamination: Stale ESA</t>
        </is>
      </c>
      <c r="C6" s="11" t="inlineStr">
        <is>
          <t>Environmental</t>
        </is>
      </c>
      <c r="D6" s="12" t="inlineStr">
        <is>
          <t>CRITICAL</t>
        </is>
      </c>
      <c r="E6" s="13" t="inlineStr">
        <is>
          <t>High</t>
        </is>
      </c>
      <c r="F6" s="11" t="inlineStr">
        <is>
          <t>$2.6M–$5M+ (2019 estimate, excludes vapor intrusion &amp; off-site)</t>
        </is>
      </c>
      <c r="G6" s="11" t="inlineStr">
        <is>
          <t>Phase II ESA (June 2019) confirmed petroleum hydrocarbons and chlorinated solvents (PCE/TCE) in soil and groundwater at owned HQ. Vapor intrusion risk to occupied maintenance building not assessed. Off-site plume migration unconfirmed. PLL policy excludes gradual contamination at owned facilities — no insurance backstop.</t>
        </is>
      </c>
      <c r="H6" s="11" t="inlineStr">
        <is>
          <t>Commission updated Phase II ESA and vapor intrusion assessment at seller's expense. Install off-site sentinel wells. Obtain current-dollar remediation cost estimate. Negotiate specific environmental indemnity with 6-year survival and separate escrow.</t>
        </is>
      </c>
      <c r="I6" s="14" t="inlineStr">
        <is>
          <t>Open — Critical</t>
        </is>
      </c>
      <c r="J6" s="11" t="inlineStr">
        <is>
          <t>Buyer Environmental Counsel</t>
        </is>
      </c>
      <c r="K6" s="11" t="inlineStr">
        <is>
          <t>Pre-Signing</t>
        </is>
      </c>
      <c r="L6" s="11" t="inlineStr">
        <is>
          <t>Phase II ESA Executive Summary; Litigation &amp; Regulatory Summary §VI.A; Insurance Program Summary §4</t>
        </is>
      </c>
    </row>
    <row r="7" ht="80" customHeight="1">
      <c r="A7" s="10" t="n">
        <v>4</v>
      </c>
      <c r="B7" s="15" t="inlineStr">
        <is>
          <t>Salt Lake City Lease: Unobtained Landlord Consent (Dual Jeopardy)</t>
        </is>
      </c>
      <c r="C7" s="15" t="inlineStr">
        <is>
          <t>Structural / Transactional</t>
        </is>
      </c>
      <c r="D7" s="12" t="inlineStr">
        <is>
          <t>CRITICAL</t>
        </is>
      </c>
      <c r="E7" s="13" t="inlineStr">
        <is>
          <t>High</t>
        </is>
      </c>
      <c r="F7" s="15" t="inlineStr">
        <is>
          <t>$16.2M annual revenue at risk</t>
        </is>
      </c>
      <c r="G7" s="15" t="inlineStr">
        <is>
          <t>SLC transfer station lease (Pinnacle/Wasatch Industrial) requires landlord consent for any CoC. Consent requested April 2022 — no response in 2.5+ years. Proposed Sycamore acquisition is a second CoC event requiring separate consent. Pre-existing assignment default + new consent requirement = dual jeopardy.</t>
        </is>
      </c>
      <c r="H7" s="15" t="inlineStr">
        <is>
          <t>Obtain landlord consent as hard closing condition. Engage Wasatch Industrial Properties directly before signing. Evaluate waiver under Utah law. Consider lease cure escrow. Advance Utah permit transfer simultaneously.</t>
        </is>
      </c>
      <c r="I7" s="14" t="inlineStr">
        <is>
          <t>Open — Critical</t>
        </is>
      </c>
      <c r="J7" s="15" t="inlineStr">
        <is>
          <t>Buyer Legal / Thornfield &amp; Associates</t>
        </is>
      </c>
      <c r="K7" s="15" t="inlineStr">
        <is>
          <t>Pre-Signing (Hard Condition)</t>
        </is>
      </c>
      <c r="L7" s="15" t="inlineStr">
        <is>
          <t>Real Property Lease Schedule §4.1; Litigation &amp; Regulatory Summary §V.B; Environmental Permit Schedule §2.2</t>
        </is>
      </c>
    </row>
    <row r="8" ht="80" customHeight="1">
      <c r="A8" s="16" t="n">
        <v>5</v>
      </c>
      <c r="B8" s="11" t="inlineStr">
        <is>
          <t>Salt Lake City Permit: Still in Pinnacle's Name After 2.5 Years</t>
        </is>
      </c>
      <c r="C8" s="11" t="inlineStr">
        <is>
          <t>Environmental</t>
        </is>
      </c>
      <c r="D8" s="17" t="inlineStr">
        <is>
          <t>HIGH</t>
        </is>
      </c>
      <c r="E8" s="13" t="inlineStr">
        <is>
          <t>High</t>
        </is>
      </c>
      <c r="F8" s="11" t="inlineStr">
        <is>
          <t>Operational disruption; permit violation risk</t>
        </is>
      </c>
      <c r="G8" s="11" t="inlineStr">
        <is>
          <t>Utah hazardous waste permit UTH-0441 (SLC transfer station) remains in Pinnacle Waste Solutions, LLC name — not RES — 2.5 years post-acquisition. Transfer application pending with Utah Division of Waste Management. Operating under dormant subsidiary's permit.</t>
        </is>
      </c>
      <c r="H8" s="11" t="inlineStr">
        <is>
          <t>Obtain written confirmation from Utah DWM on transfer application status. Make permit transfer a closing condition. Assess whether proposed transaction requires separate permit modification filing.</t>
        </is>
      </c>
      <c r="I8" s="18" t="inlineStr">
        <is>
          <t>Open — High</t>
        </is>
      </c>
      <c r="J8" s="11" t="inlineStr">
        <is>
          <t>Buyer Environmental Counsel</t>
        </is>
      </c>
      <c r="K8" s="11" t="inlineStr">
        <is>
          <t>Pre-Closing</t>
        </is>
      </c>
      <c r="L8" s="11" t="inlineStr">
        <is>
          <t>Environmental Permit Schedule §2.2; Real Property Lease Schedule §4.1; Org Chart §4.4</t>
        </is>
      </c>
    </row>
    <row r="9" ht="80" customHeight="1">
      <c r="A9" s="16" t="n">
        <v>6</v>
      </c>
      <c r="B9" s="15" t="inlineStr">
        <is>
          <t>CDPHE Enforcement Action: Unaccrued Penalty Up to $1.16M</t>
        </is>
      </c>
      <c r="C9" s="15" t="inlineStr">
        <is>
          <t>Environmental</t>
        </is>
      </c>
      <c r="D9" s="17" t="inlineStr">
        <is>
          <t>HIGH</t>
        </is>
      </c>
      <c r="E9" s="13" t="inlineStr">
        <is>
          <t>High</t>
        </is>
      </c>
      <c r="F9" s="15" t="inlineStr">
        <is>
          <t>$200K–$1,162,500</t>
        </is>
      </c>
      <c r="G9" s="15" t="inlineStr">
        <is>
          <t>CDPHE NOV (Docket CDPHE-HW-2024-0093, July 2024) alleges improper hazardous waste storage at Grand Junction. Company asserts 12-day violation ($450K max); CDPHE asserts 31-day violation ($1.16M max). No accrual recorded. Settlement conference expected Q1 2025.</t>
        </is>
      </c>
      <c r="H9" s="15" t="inlineStr">
        <is>
          <t>Resolve CDPHE matter before closing or establish specific indemnity escrow for full exposure. Obtain CDPHE's current negotiating position. Confirm enforcement action does not jeopardize RCRA Part B permit COD-098-2761.</t>
        </is>
      </c>
      <c r="I9" s="18" t="inlineStr">
        <is>
          <t>Open — High</t>
        </is>
      </c>
      <c r="J9" s="15" t="inlineStr">
        <is>
          <t>Buyer Legal / Environmental Counsel</t>
        </is>
      </c>
      <c r="K9" s="15" t="inlineStr">
        <is>
          <t>Pre-Closing</t>
        </is>
      </c>
      <c r="L9" s="15" t="inlineStr">
        <is>
          <t>Litigation &amp; Regulatory Summary §III.A; Environmental Permit Schedule §2.1; Credit Agreement Summary §10</t>
        </is>
      </c>
    </row>
    <row r="10" ht="80" customHeight="1">
      <c r="A10" s="16" t="n">
        <v>7</v>
      </c>
      <c r="B10" s="11" t="inlineStr">
        <is>
          <t>Casper Facility Permit: Expired, Operating Under Timely Renewal</t>
        </is>
      </c>
      <c r="C10" s="11" t="inlineStr">
        <is>
          <t>Environmental</t>
        </is>
      </c>
      <c r="D10" s="17" t="inlineStr">
        <is>
          <t>HIGH</t>
        </is>
      </c>
      <c r="E10" s="13" t="inlineStr">
        <is>
          <t>Medium</t>
        </is>
      </c>
      <c r="F10" s="11" t="inlineStr">
        <is>
          <t>Operational disruption risk; credit agreement Event of Default</t>
        </is>
      </c>
      <c r="G10" s="11" t="inlineStr">
        <is>
          <t>Wyoming hazardous waste permit for Casper facility expired November 30, 2024. Renewal application filed October 15, 2024. Company operating under timely renewal provisions. Renewal expected Q1 2025. Casper: 68 employees, ~$30.2M Wyoming revenue.</t>
        </is>
      </c>
      <c r="H10" s="11" t="inlineStr">
        <is>
          <t>Confirm Wyoming DEQ written acknowledgment of timely renewal filing. Obtain renewal status update. Make permit renewal a closing condition or obtain specific representation.</t>
        </is>
      </c>
      <c r="I10" s="18" t="inlineStr">
        <is>
          <t>Open — High</t>
        </is>
      </c>
      <c r="J10" s="11" t="inlineStr">
        <is>
          <t>Buyer Legal</t>
        </is>
      </c>
      <c r="K10" s="11" t="inlineStr">
        <is>
          <t>Pre-Closing</t>
        </is>
      </c>
      <c r="L10" s="11" t="inlineStr">
        <is>
          <t>Environmental Permit Schedule §2.4; Credit Agreement Summary §10; Real Property Lease Schedule §4.3</t>
        </is>
      </c>
    </row>
    <row r="11" ht="80" customHeight="1">
      <c r="A11" s="16" t="n">
        <v>8</v>
      </c>
      <c r="B11" s="15" t="inlineStr">
        <is>
          <t>Change-of-Control Severance: $3.775M Unallocated in LOI</t>
        </is>
      </c>
      <c r="C11" s="15" t="inlineStr">
        <is>
          <t>Structural / Transactional</t>
        </is>
      </c>
      <c r="D11" s="17" t="inlineStr">
        <is>
          <t>HIGH</t>
        </is>
      </c>
      <c r="E11" s="13" t="inlineStr">
        <is>
          <t>High</t>
        </is>
      </c>
      <c r="F11" s="15" t="inlineStr">
        <is>
          <t>$2.625M certain at closing + up to $1.15M contingent</t>
        </is>
      </c>
      <c r="G11" s="15" t="inlineStr">
        <is>
          <t>CEO and COO each hold single-trigger CoC severance of $1,312,500 (payable at closing regardless of employment status). CFO, VP Ops, VP BD hold double-trigger provisions totaling $1,150,000. Total: $3,775,000. LOI is silent on whether seller-borne or buyer-borne.</t>
        </is>
      </c>
      <c r="H11" s="15" t="inlineStr">
        <is>
          <t>Negotiate CoC severance treatment in SPA before signing. Confirm founders' post-close comp arrangements. Evaluate renegotiating single-trigger to double-trigger. Budget full $3.775M as potential closing cost.</t>
        </is>
      </c>
      <c r="I11" s="18" t="inlineStr">
        <is>
          <t>Open — High</t>
        </is>
      </c>
      <c r="J11" s="15" t="inlineStr">
        <is>
          <t>Buyer Legal / Deal Team</t>
        </is>
      </c>
      <c r="K11" s="15" t="inlineStr">
        <is>
          <t>Pre-Signing</t>
        </is>
      </c>
      <c r="L11" s="15" t="inlineStr">
        <is>
          <t>Employment Agreements Summary §8; QofE Executive Compensation tab; LOI §4(c); CIM §VII.B</t>
        </is>
      </c>
    </row>
    <row r="12" ht="80" customHeight="1">
      <c r="A12" s="16" t="n">
        <v>9</v>
      </c>
      <c r="B12" s="11" t="inlineStr">
        <is>
          <t>Asbestos Long-Tail Liability: Pre-2015 Insurance Coverage Gap</t>
        </is>
      </c>
      <c r="C12" s="11" t="inlineStr">
        <is>
          <t>Legal &amp; Litigation</t>
        </is>
      </c>
      <c r="D12" s="17" t="inlineStr">
        <is>
          <t>HIGH</t>
        </is>
      </c>
      <c r="E12" s="13" t="inlineStr">
        <is>
          <t>Medium</t>
        </is>
      </c>
      <c r="F12" s="11" t="inlineStr">
        <is>
          <t>Unquantified; ~$7.3M revenue from uninsured 2012–2014 period</t>
        </is>
      </c>
      <c r="G12" s="11" t="inlineStr">
        <is>
          <t>RES operated asbestos abatement 2012–2023 at ~145 sites. PLL policy retroactive date is Jan 1, 2015 — work from 2012–2014 is uninsured. CGL has blanket asbestos exclusion with no completed operations carve-out. No tail coverage procured. Two open WC claims from former asbestos employees.</t>
        </is>
      </c>
      <c r="H12" s="11" t="inlineStr">
        <is>
          <t>Obtain complete asbestos claims history. Require sellers to procure tail policy for 2012–2014 period as closing condition, or negotiate specific asbestos indemnity with separate escrow. Confirm status of two open WC claims.</t>
        </is>
      </c>
      <c r="I12" s="18" t="inlineStr">
        <is>
          <t>Open — High</t>
        </is>
      </c>
      <c r="J12" s="11" t="inlineStr">
        <is>
          <t>Buyer Legal / Insurance Counsel</t>
        </is>
      </c>
      <c r="K12" s="11" t="inlineStr">
        <is>
          <t>Pre-Signing</t>
        </is>
      </c>
      <c r="L12" s="11" t="inlineStr">
        <is>
          <t>Insurance Program Summary §2, §4; Litigation &amp; Regulatory Summary §VI.B; QofE Service Line Detail tab</t>
        </is>
      </c>
    </row>
    <row r="13" ht="80" customHeight="1">
      <c r="A13" s="16" t="n">
        <v>10</v>
      </c>
      <c r="B13" s="15" t="inlineStr">
        <is>
          <t>Ramirez Personal Injury Lawsuit: Coverage Uncertainty</t>
        </is>
      </c>
      <c r="C13" s="15" t="inlineStr">
        <is>
          <t>Legal &amp; Litigation</t>
        </is>
      </c>
      <c r="D13" s="17" t="inlineStr">
        <is>
          <t>HIGH</t>
        </is>
      </c>
      <c r="E13" s="13" t="inlineStr">
        <is>
          <t>Medium</t>
        </is>
      </c>
      <c r="F13" s="15" t="inlineStr">
        <is>
          <t>$500K–$1.5M+ (management estimate); $4.8M claimed</t>
        </is>
      </c>
      <c r="G13" s="15" t="inlineStr">
        <is>
          <t>Ramirez v. RES (D. Wyo., Case No. 2:24-cv-00187) — former field tech alleges inadequate PPE/air monitoring during VOC/heavy metal exposure at Sheridan, WY site. Insurer issued reservation of rights letter Sept 19, 2024. Coverage determination pending. No accrual recorded.</t>
        </is>
      </c>
      <c r="H13" s="15" t="inlineStr">
        <is>
          <t>Obtain reservation of rights letter and insurer's coverage analysis. Assess basis for coverage dispute. Require specific indemnity for Ramirez matter. Confirm no credit agreement cross-default trigger.</t>
        </is>
      </c>
      <c r="I13" s="18" t="inlineStr">
        <is>
          <t>Open — High</t>
        </is>
      </c>
      <c r="J13" s="15" t="inlineStr">
        <is>
          <t>Buyer Legal</t>
        </is>
      </c>
      <c r="K13" s="15" t="inlineStr">
        <is>
          <t>Pre-Signing</t>
        </is>
      </c>
      <c r="L13" s="15" t="inlineStr">
        <is>
          <t>Litigation &amp; Regulatory Summary §II.B; Insurance Program Summary §7; Credit Agreement Summary §10</t>
        </is>
      </c>
    </row>
    <row r="14" ht="80" customHeight="1">
      <c r="A14" s="16" t="n">
        <v>11</v>
      </c>
      <c r="B14" s="11" t="inlineStr">
        <is>
          <t>Fleet Condition: 44.7% Past Useful Life, $9.8M Replacement Backlog</t>
        </is>
      </c>
      <c r="C14" s="11" t="inlineStr">
        <is>
          <t>Operational</t>
        </is>
      </c>
      <c r="D14" s="17" t="inlineStr">
        <is>
          <t>HIGH</t>
        </is>
      </c>
      <c r="E14" s="13" t="inlineStr">
        <is>
          <t>High</t>
        </is>
      </c>
      <c r="F14" s="11" t="inlineStr">
        <is>
          <t>$9.8M replacement backlog; ~$26–35M valuation overstatement</t>
        </is>
      </c>
      <c r="G14" s="11" t="inlineStr">
        <is>
          <t>38 of 85 fleet/equipment assets (44.7%) at or past stated useful life. Average fleet age 8.2 years vs. 7.0-year useful life. $9.8M estimated replacement cost for past-life units. Management normalized maintenance capex of $4.0–$4.5M/yr understated; true normalized capex ~$7.3–$7.8M/yr.</t>
        </is>
      </c>
      <c r="H14" s="11" t="inlineStr">
        <is>
          <t>Commission independent fleet appraisal and condition assessment. Recast normalized maintenance capex. Adjust EBITDA-to-FCF bridge. Negotiate purchase price reduction or escrow for deferred fleet replacement.</t>
        </is>
      </c>
      <c r="I14" s="18" t="inlineStr">
        <is>
          <t>Open — High</t>
        </is>
      </c>
      <c r="J14" s="11" t="inlineStr">
        <is>
          <t>Buyer Operational DD Team</t>
        </is>
      </c>
      <c r="K14" s="11" t="inlineStr">
        <is>
          <t>Pre-Signing</t>
        </is>
      </c>
      <c r="L14" s="11" t="inlineStr">
        <is>
          <t>QofE Fleet &amp; Equipment Schedule; QofE Capex Detail tab; CIM §VI.C</t>
        </is>
      </c>
    </row>
    <row r="15" ht="80" customHeight="1">
      <c r="A15" s="19" t="n">
        <v>12</v>
      </c>
      <c r="B15" s="15" t="inlineStr">
        <is>
          <t>NLRB Unionization Petition: 62 Field Technicians</t>
        </is>
      </c>
      <c r="C15" s="15" t="inlineStr">
        <is>
          <t>Operational</t>
        </is>
      </c>
      <c r="D15" s="20" t="inlineStr">
        <is>
          <t>MEDIUM</t>
        </is>
      </c>
      <c r="E15" s="13" t="inlineStr">
        <is>
          <t>Medium</t>
        </is>
      </c>
      <c r="F15" s="15" t="inlineStr">
        <is>
          <t>Indeterminate labor cost increase; operational flexibility risk</t>
        </is>
      </c>
      <c r="G15" s="15" t="inlineStr">
        <is>
          <t>NLRB election petition filed November 4, 2024 by Teamsters Local 455 covering 62 field technicians at Grand Junction and Casper facilities (13% of workforce). Disclosed only in a footnote in Employee Benefits Summary — not mentioned in CIM, Litigation Summary, or other primary documents.</t>
        </is>
      </c>
      <c r="H15" s="15" t="inlineStr">
        <is>
          <t>Obtain full NLRB petition briefing including election timeline and Company response strategy. Assess financial impact of potential unionization. Require disclosure of any prior organizing activity.</t>
        </is>
      </c>
      <c r="I15" s="21" t="inlineStr">
        <is>
          <t>Open — Medium</t>
        </is>
      </c>
      <c r="J15" s="15" t="inlineStr">
        <is>
          <t>Buyer Legal / HR Advisor</t>
        </is>
      </c>
      <c r="K15" s="15" t="inlineStr">
        <is>
          <t>Pre-Signing</t>
        </is>
      </c>
      <c r="L15" s="15" t="inlineStr">
        <is>
          <t>Employee Benefits Summary §7 (footnote); CIM §VII.A</t>
        </is>
      </c>
    </row>
    <row r="16" ht="80" customHeight="1">
      <c r="A16" s="19" t="n">
        <v>13</v>
      </c>
      <c r="B16" s="11" t="inlineStr">
        <is>
          <t>Lease Consent Requirements: 7 of 10 Leases Require Landlord Consent</t>
        </is>
      </c>
      <c r="C16" s="11" t="inlineStr">
        <is>
          <t>Structural / Transactional</t>
        </is>
      </c>
      <c r="D16" s="20" t="inlineStr">
        <is>
          <t>MEDIUM</t>
        </is>
      </c>
      <c r="E16" s="13" t="inlineStr">
        <is>
          <t>Medium</t>
        </is>
      </c>
      <c r="F16" s="11" t="inlineStr">
        <is>
          <t>Closing delay / disruption risk; Pueblo lease expiring at closing</t>
        </is>
      </c>
      <c r="G16" s="11" t="inlineStr">
        <is>
          <t>7 of 10 leased facilities require landlord consent for assignment/CoC. Beyond SLC (Red Flag 4): Ogden (standard consent), Casper, Billings, Denver, Rock Springs, Cheyenne (general assignment clauses). Pueblo Storage Yard lease expires April 30, 2025 (on/about target closing date).</t>
        </is>
      </c>
      <c r="H16" s="11" t="inlineStr">
        <is>
          <t>Conduct systematic landlord consent campaign for all 7 leases before signing. Confirm whether stock acquisition triggers general assignment clauses. Obtain Pueblo lease renewal or confirm relocation plan before closing.</t>
        </is>
      </c>
      <c r="I16" s="21" t="inlineStr">
        <is>
          <t>Open — Medium</t>
        </is>
      </c>
      <c r="J16" s="11" t="inlineStr">
        <is>
          <t>Buyer Legal / Thornfield &amp; Associates</t>
        </is>
      </c>
      <c r="K16" s="11" t="inlineStr">
        <is>
          <t>Pre-Closing</t>
        </is>
      </c>
      <c r="L16" s="11" t="inlineStr">
        <is>
          <t>Real Property Lease Schedule §3, §6; LOI §8(e)</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25" customWidth="1" min="6" max="6"/>
  </cols>
  <sheetData>
    <row r="1" ht="28" customHeight="1">
      <c r="A1" s="22" t="inlineStr">
        <is>
          <t>FINANCIAL ANALYSIS — EBITDA BRIDGE &amp; DOE REVENUE SCENARIOS</t>
        </is>
      </c>
    </row>
    <row r="3" ht="20" customHeight="1">
      <c r="A3" s="23" t="inlineStr">
        <is>
          <t>SECTION A: EBITDA BRIDGE RECONCILIATION (FY2024 TTM, $000s)</t>
        </is>
      </c>
    </row>
    <row r="4" ht="30" customHeight="1">
      <c r="A4" s="24" t="inlineStr">
        <is>
          <t>Line Item</t>
        </is>
      </c>
      <c r="B4" s="24" t="inlineStr">
        <is>
          <t>Management (CIM)</t>
        </is>
      </c>
      <c r="C4" s="24" t="inlineStr">
        <is>
          <t>QofE Data Package</t>
        </is>
      </c>
      <c r="D4" s="24" t="inlineStr">
        <is>
          <t>Bank Covenant Def.</t>
        </is>
      </c>
      <c r="E4" s="24" t="inlineStr">
        <is>
          <t>Variance (QofE vs CIM)</t>
        </is>
      </c>
      <c r="F4" s="24" t="inlineStr">
        <is>
          <t>Notes</t>
        </is>
      </c>
    </row>
    <row r="5" ht="18" customHeight="1">
      <c r="A5" s="25" t="inlineStr">
        <is>
          <t>Reported EBITDA</t>
        </is>
      </c>
      <c r="B5" s="26" t="n">
        <v>18400</v>
      </c>
      <c r="C5" s="26" t="n">
        <v>18400</v>
      </c>
      <c r="D5" s="26" t="n">
        <v>18400</v>
      </c>
      <c r="E5" s="26" t="n">
        <v>0</v>
      </c>
      <c r="F5" s="25" t="inlineStr">
        <is>
          <t>Starting point — consistent across all sources</t>
        </is>
      </c>
    </row>
    <row r="6" ht="18" customHeight="1">
      <c r="A6" s="25" t="inlineStr">
        <is>
          <t>+ Litigation Settlement (Clearwater)</t>
        </is>
      </c>
      <c r="B6" s="26" t="n">
        <v>1200</v>
      </c>
      <c r="C6" s="26" t="n">
        <v>1200</v>
      </c>
      <c r="D6" s="26" t="n">
        <v>0</v>
      </c>
      <c r="E6" s="26" t="n">
        <v>0</v>
      </c>
      <c r="F6" s="25" t="inlineStr">
        <is>
          <t>Receipt from settlement — not permitted under bank def.</t>
        </is>
      </c>
    </row>
    <row r="7" ht="18" customHeight="1">
      <c r="A7" s="25" t="inlineStr">
        <is>
          <t>+ Owner Comp Normalization</t>
        </is>
      </c>
      <c r="B7" s="26" t="n">
        <v>950</v>
      </c>
      <c r="C7" s="26" t="n">
        <v>950</v>
      </c>
      <c r="D7" s="26" t="n">
        <v>0</v>
      </c>
      <c r="E7" s="26" t="n">
        <v>0</v>
      </c>
      <c r="F7" s="25" t="inlineStr">
        <is>
          <t>Founders at $875K each; market rate asserted at $400K each</t>
        </is>
      </c>
    </row>
    <row r="8" ht="18" customHeight="1">
      <c r="A8" s="25" t="inlineStr">
        <is>
          <t>+ ERP Implementation Costs</t>
        </is>
      </c>
      <c r="B8" s="26" t="n">
        <v>650</v>
      </c>
      <c r="C8" s="26" t="n">
        <v>650</v>
      </c>
      <c r="D8" s="26" t="n">
        <v>0</v>
      </c>
      <c r="E8" s="26" t="n">
        <v>0</v>
      </c>
      <c r="F8" s="25" t="inlineStr">
        <is>
          <t>Phase 2 ERP — not permitted under bank def.</t>
        </is>
      </c>
    </row>
    <row r="9" ht="18" customHeight="1">
      <c r="A9" s="25" t="inlineStr">
        <is>
          <t>+ Acquisition Integration (Pinnacle)</t>
        </is>
      </c>
      <c r="B9" s="26" t="n">
        <v>800</v>
      </c>
      <c r="C9" s="26" t="n">
        <v>800</v>
      </c>
      <c r="D9" s="26" t="n">
        <v>0</v>
      </c>
      <c r="E9" s="26" t="n">
        <v>0</v>
      </c>
      <c r="F9" s="25" t="inlineStr">
        <is>
          <t>Ongoing 2.5 years post-close — recurring?</t>
        </is>
      </c>
    </row>
    <row r="10" ht="18" customHeight="1">
      <c r="A10" s="25" t="inlineStr">
        <is>
          <t>+ Asbestos Wind-Down Costs</t>
        </is>
      </c>
      <c r="B10" s="26" t="n">
        <v>1800</v>
      </c>
      <c r="C10" s="26" t="n">
        <v>1800</v>
      </c>
      <c r="D10" s="26" t="n">
        <v>0</v>
      </c>
      <c r="E10" s="26" t="n">
        <v>0</v>
      </c>
      <c r="F10" s="25" t="inlineStr">
        <is>
          <t>Not permitted under bank def.</t>
        </is>
      </c>
    </row>
    <row r="11" ht="18" customHeight="1">
      <c r="A11" s="27" t="inlineStr">
        <is>
          <t>Subtotal Adjustments</t>
        </is>
      </c>
      <c r="B11" s="28" t="n">
        <v>5400</v>
      </c>
      <c r="C11" s="28" t="n">
        <v>5400</v>
      </c>
      <c r="D11" s="28" t="n">
        <v>0</v>
      </c>
      <c r="E11" s="28" t="n">
        <v>0</v>
      </c>
      <c r="F11" s="27" t="inlineStr">
        <is>
          <t>All adjustments excluded under bank covenant definition</t>
        </is>
      </c>
    </row>
    <row r="12" ht="18" customHeight="1">
      <c r="A12" s="29">
        <f> Adjusted EBITDA</f>
        <v/>
      </c>
      <c r="B12" s="30" t="n">
        <v>22800</v>
      </c>
      <c r="C12" s="30" t="n">
        <v>23800</v>
      </c>
      <c r="D12" s="30" t="n">
        <v>18400</v>
      </c>
      <c r="E12" s="30" t="n">
        <v>1000</v>
      </c>
      <c r="F12" s="29" t="inlineStr">
        <is>
          <t>*** $1,000K UNRECONCILED DISCREPANCY ***</t>
        </is>
      </c>
    </row>
    <row r="13" ht="18" customHeight="1">
      <c r="A13" s="25" t="inlineStr">
        <is>
          <t>Adjusted EBITDA Margin %</t>
        </is>
      </c>
      <c r="B13" s="25" t="inlineStr">
        <is>
          <t>17.9%</t>
        </is>
      </c>
      <c r="C13" s="25" t="inlineStr">
        <is>
          <t>18.7%</t>
        </is>
      </c>
      <c r="D13" s="25" t="inlineStr">
        <is>
          <t>14.5%</t>
        </is>
      </c>
      <c r="E13" s="25" t="inlineStr">
        <is>
          <t>0.8%</t>
        </is>
      </c>
      <c r="F13" s="25" t="inlineStr">
        <is>
          <t>Based on $127.3M TTM revenue</t>
        </is>
      </c>
    </row>
    <row r="14" ht="18" customHeight="1">
      <c r="A14" s="27" t="inlineStr">
        <is>
          <t>Implied EV at 8.0x</t>
        </is>
      </c>
      <c r="B14" s="28" t="n">
        <v>182400</v>
      </c>
      <c r="C14" s="28" t="n">
        <v>190400</v>
      </c>
      <c r="D14" s="28" t="n">
        <v>147200</v>
      </c>
      <c r="E14" s="28" t="n">
        <v>8000</v>
      </c>
      <c r="F14" s="27" t="inlineStr">
        <is>
          <t>EV = Adj. EBITDA x 8.0x</t>
        </is>
      </c>
    </row>
    <row r="15" ht="18" customHeight="1">
      <c r="A15" s="27" t="inlineStr">
        <is>
          <t>Implied EV at 9.0x</t>
        </is>
      </c>
      <c r="B15" s="28" t="n">
        <v>205200</v>
      </c>
      <c r="C15" s="28" t="n">
        <v>214200</v>
      </c>
      <c r="D15" s="28" t="n">
        <v>165600</v>
      </c>
      <c r="E15" s="28" t="n">
        <v>9000</v>
      </c>
      <c r="F15" s="27" t="inlineStr">
        <is>
          <t>EV = Adj. EBITDA x 9.0x</t>
        </is>
      </c>
    </row>
    <row r="17" ht="10" customHeight="1"/>
    <row r="18" ht="20" customHeight="1">
      <c r="A18" s="23" t="inlineStr">
        <is>
          <t>SECTION B: DOE IDIQ CONTRACT CEILING ANALYSIS &amp; FY2025 REVENUE SCENARIOS ($000s)</t>
        </is>
      </c>
    </row>
    <row r="19" ht="30" customHeight="1">
      <c r="A19" s="24" t="inlineStr">
        <is>
          <t>Metric</t>
        </is>
      </c>
      <c r="B19" s="24" t="inlineStr">
        <is>
          <t>Current (FY2024 TTM)</t>
        </is>
      </c>
      <c r="C19" s="24" t="inlineStr">
        <is>
          <t>Scenario 1: No Ceiling Mod</t>
        </is>
      </c>
      <c r="D19" s="24" t="inlineStr">
        <is>
          <t>Scenario 2: +$15M Ceiling Mod</t>
        </is>
      </c>
      <c r="E19" s="24" t="inlineStr">
        <is>
          <t>Scenario 3: New Contract</t>
        </is>
      </c>
      <c r="F19" s="24" t="inlineStr">
        <is>
          <t>Notes</t>
        </is>
      </c>
    </row>
    <row r="20" ht="18" customHeight="1">
      <c r="A20" s="31" t="inlineStr">
        <is>
          <t>IDIQ Contract Ceiling ($000s)</t>
        </is>
      </c>
      <c r="B20" s="32" t="n">
        <v>45000</v>
      </c>
      <c r="C20" s="32" t="n">
        <v>45000</v>
      </c>
      <c r="D20" s="32" t="n">
        <v>60000</v>
      </c>
      <c r="E20" s="31" t="inlineStr">
        <is>
          <t>New contract</t>
        </is>
      </c>
      <c r="F20" s="31" t="inlineStr">
        <is>
          <t>DE-EM-0005523</t>
        </is>
      </c>
    </row>
    <row r="21" ht="18" customHeight="1">
      <c r="A21" s="4" t="inlineStr">
        <is>
          <t>Ceiling Consumed to Date ($000s)</t>
        </is>
      </c>
      <c r="B21" s="33" t="n">
        <v>32700</v>
      </c>
      <c r="C21" s="33" t="n">
        <v>32700</v>
      </c>
      <c r="D21" s="33" t="n">
        <v>32700</v>
      </c>
      <c r="E21" s="4" t="inlineStr">
        <is>
          <t>N/A</t>
        </is>
      </c>
      <c r="F21" s="4" t="inlineStr">
        <is>
          <t>As of Oct 2024</t>
        </is>
      </c>
    </row>
    <row r="22" ht="18" customHeight="1">
      <c r="A22" s="31" t="inlineStr">
        <is>
          <t>Remaining Ceiling ($000s)</t>
        </is>
      </c>
      <c r="B22" s="32" t="n">
        <v>12300</v>
      </c>
      <c r="C22" s="32" t="n">
        <v>12300</v>
      </c>
      <c r="D22" s="32" t="n">
        <v>27300</v>
      </c>
      <c r="E22" s="31" t="inlineStr">
        <is>
          <t>TBD</t>
        </is>
      </c>
      <c r="F22" s="31" t="inlineStr">
        <is>
          <t>Available for new task orders</t>
        </is>
      </c>
    </row>
    <row r="23" ht="18" customHeight="1">
      <c r="A23" s="4" t="inlineStr">
        <is>
          <t>Projected Ceiling Exhaustion</t>
        </is>
      </c>
      <c r="B23" s="4" t="inlineStr">
        <is>
          <t>Apr-May 2025</t>
        </is>
      </c>
      <c r="C23" s="4" t="inlineStr">
        <is>
          <t>Apr-May 2025</t>
        </is>
      </c>
      <c r="D23" s="4" t="inlineStr">
        <is>
          <t>~FY2026</t>
        </is>
      </c>
      <c r="E23" s="4" t="inlineStr">
        <is>
          <t>TBD</t>
        </is>
      </c>
      <c r="F23" s="4" t="inlineStr">
        <is>
          <t>At $2.03M/month run rate</t>
        </is>
      </c>
    </row>
    <row r="24" ht="18" customHeight="1">
      <c r="A24" s="31" t="inlineStr">
        <is>
          <t>DOE Revenue FY2024 TTM ($000s)</t>
        </is>
      </c>
      <c r="B24" s="32" t="n">
        <v>24400</v>
      </c>
      <c r="C24" s="32" t="n">
        <v>24400</v>
      </c>
      <c r="D24" s="32" t="n">
        <v>24400</v>
      </c>
      <c r="E24" s="32" t="n">
        <v>24400</v>
      </c>
      <c r="F24" s="31" t="inlineStr">
        <is>
          <t>Actual TTM</t>
        </is>
      </c>
    </row>
    <row r="25" ht="18" customHeight="1">
      <c r="A25" s="4" t="inlineStr">
        <is>
          <t>DOE Revenue FY2025 Projected ($000s)</t>
        </is>
      </c>
      <c r="B25" s="33" t="n">
        <v>24400</v>
      </c>
      <c r="C25" s="33" t="n">
        <v>12300</v>
      </c>
      <c r="D25" s="33" t="n">
        <v>24400</v>
      </c>
      <c r="E25" s="33" t="n">
        <v>20000</v>
      </c>
      <c r="F25" s="4" t="inlineStr">
        <is>
          <t>Scenario-dependent</t>
        </is>
      </c>
    </row>
    <row r="26" ht="18" customHeight="1">
      <c r="A26" s="31" t="inlineStr">
        <is>
          <t>DOE Revenue Change vs. FY2024 ($000s)</t>
        </is>
      </c>
      <c r="B26" s="32" t="n">
        <v>0</v>
      </c>
      <c r="C26" s="34" t="n">
        <v>-12100</v>
      </c>
      <c r="D26" s="32" t="n">
        <v>0</v>
      </c>
      <c r="E26" s="32" t="n">
        <v>-4400</v>
      </c>
      <c r="F26" s="31" t="inlineStr">
        <is>
          <t>Revenue headwind</t>
        </is>
      </c>
    </row>
    <row r="27" ht="18" customHeight="1">
      <c r="A27" s="4" t="inlineStr">
        <is>
          <t>DOE Revenue Change %</t>
        </is>
      </c>
      <c r="B27" s="4" t="inlineStr">
        <is>
          <t>0%</t>
        </is>
      </c>
      <c r="C27" s="35" t="inlineStr">
        <is>
          <t>-49.6%</t>
        </is>
      </c>
      <c r="D27" s="4" t="inlineStr">
        <is>
          <t>0%</t>
        </is>
      </c>
      <c r="E27" s="4" t="inlineStr">
        <is>
          <t>-18.0%</t>
        </is>
      </c>
      <c r="F27" s="4" t="inlineStr"/>
    </row>
    <row r="28" ht="18" customHeight="1">
      <c r="A28" s="31" t="inlineStr">
        <is>
          <t>Total Company Revenue FY2025 ($000s)</t>
        </is>
      </c>
      <c r="B28" s="32" t="n">
        <v>127300</v>
      </c>
      <c r="C28" s="32" t="n">
        <v>115200</v>
      </c>
      <c r="D28" s="32" t="n">
        <v>127300</v>
      </c>
      <c r="E28" s="32" t="n">
        <v>122900</v>
      </c>
      <c r="F28" s="31" t="inlineStr">
        <is>
          <t>Assumes all other revenue flat</t>
        </is>
      </c>
    </row>
    <row r="29" ht="18" customHeight="1">
      <c r="A29" s="4" t="inlineStr">
        <is>
          <t>DOE as % of Total Revenue</t>
        </is>
      </c>
      <c r="B29" s="4" t="inlineStr">
        <is>
          <t>19.2%</t>
        </is>
      </c>
      <c r="C29" s="4" t="inlineStr">
        <is>
          <t>10.7%</t>
        </is>
      </c>
      <c r="D29" s="4" t="inlineStr">
        <is>
          <t>19.2%</t>
        </is>
      </c>
      <c r="E29" s="4" t="inlineStr">
        <is>
          <t>16.3%</t>
        </is>
      </c>
      <c r="F29" s="4" t="inlineStr"/>
    </row>
    <row r="30" ht="18" customHeight="1">
      <c r="A30" s="31" t="inlineStr">
        <is>
          <t>Revenue Headwind as % of Total</t>
        </is>
      </c>
      <c r="B30" s="31" t="inlineStr">
        <is>
          <t>0%</t>
        </is>
      </c>
      <c r="C30" s="31" t="inlineStr">
        <is>
          <t>-9.5%</t>
        </is>
      </c>
      <c r="D30" s="31" t="inlineStr">
        <is>
          <t>0%</t>
        </is>
      </c>
      <c r="E30" s="31" t="inlineStr">
        <is>
          <t>-3.5%</t>
        </is>
      </c>
      <c r="F30" s="31" t="inlineStr"/>
    </row>
  </sheetData>
  <mergeCells count="3">
    <mergeCell ref="A3:F3"/>
    <mergeCell ref="A1:F1"/>
    <mergeCell ref="A18:F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22" customWidth="1" min="1" max="1"/>
    <col width="18" customWidth="1" min="2" max="2"/>
    <col width="16" customWidth="1" min="3" max="3"/>
    <col width="16" customWidth="1" min="4" max="4"/>
    <col width="16" customWidth="1" min="5" max="5"/>
    <col width="20" customWidth="1" min="6" max="6"/>
    <col width="30" customWidth="1" min="7" max="7"/>
  </cols>
  <sheetData>
    <row r="1" ht="28" customHeight="1">
      <c r="A1" s="22" t="inlineStr">
        <is>
          <t>ENVIRONMENTAL PERMIT STATUS &amp; CONTAMINATION EXPOSURE SUMMARY</t>
        </is>
      </c>
    </row>
    <row r="3" ht="20" customHeight="1">
      <c r="A3" s="23" t="inlineStr">
        <is>
          <t>SECTION A: ENVIRONMENTAL PERMIT STATUS</t>
        </is>
      </c>
    </row>
    <row r="4" ht="28" customHeight="1">
      <c r="A4" s="24" t="inlineStr">
        <is>
          <t>Facility</t>
        </is>
      </c>
      <c r="B4" s="24" t="inlineStr">
        <is>
          <t>Permit No.</t>
        </is>
      </c>
      <c r="C4" s="24" t="inlineStr">
        <is>
          <t>Permit Holder</t>
        </is>
      </c>
      <c r="D4" s="24" t="inlineStr">
        <is>
          <t>Expiration</t>
        </is>
      </c>
      <c r="E4" s="24" t="inlineStr">
        <is>
          <t>Status</t>
        </is>
      </c>
      <c r="F4" s="24" t="inlineStr">
        <is>
          <t>Red Flag</t>
        </is>
      </c>
      <c r="G4" s="24" t="inlineStr">
        <is>
          <t>Key Issue</t>
        </is>
      </c>
    </row>
    <row r="5" ht="45" customHeight="1">
      <c r="A5" s="15" t="inlineStr">
        <is>
          <t>Grand Junction, CO (HQ)</t>
        </is>
      </c>
      <c r="B5" s="15" t="inlineStr">
        <is>
          <t>COD-098-2761</t>
        </is>
      </c>
      <c r="C5" s="15" t="inlineStr">
        <is>
          <t>RES</t>
        </is>
      </c>
      <c r="D5" s="15" t="inlineStr">
        <is>
          <t>Dec 31, 2026</t>
        </is>
      </c>
      <c r="E5" s="18" t="inlineStr">
        <is>
          <t>Active — NOV Pending</t>
        </is>
      </c>
      <c r="F5" s="15" t="inlineStr">
        <is>
          <t>RF #6</t>
        </is>
      </c>
      <c r="G5" s="15" t="inlineStr">
        <is>
          <t>CDPHE enforcement action pending; $200K-$1.16M penalty exposure; no accrual</t>
        </is>
      </c>
    </row>
    <row r="6" ht="45" customHeight="1">
      <c r="A6" s="15" t="inlineStr">
        <is>
          <t>Salt Lake City, UT</t>
        </is>
      </c>
      <c r="B6" s="15" t="inlineStr">
        <is>
          <t>UTH-0441</t>
        </is>
      </c>
      <c r="C6" s="15" t="inlineStr">
        <is>
          <t>Pinnacle Waste Solutions, LLC</t>
        </is>
      </c>
      <c r="D6" s="15" t="inlineStr">
        <is>
          <t>2029</t>
        </is>
      </c>
      <c r="E6" s="18" t="inlineStr">
        <is>
          <t>Active — Transfer Pending</t>
        </is>
      </c>
      <c r="F6" s="15" t="inlineStr">
        <is>
          <t>RF #5</t>
        </is>
      </c>
      <c r="G6" s="15" t="inlineStr">
        <is>
          <t>Permit in dormant subsidiary's name 2.5 years post-acquisition; transfer application pending</t>
        </is>
      </c>
    </row>
    <row r="7" ht="45" customHeight="1">
      <c r="A7" s="15" t="inlineStr">
        <is>
          <t>Ogden, UT</t>
        </is>
      </c>
      <c r="B7" s="15" t="inlineStr">
        <is>
          <t>UTH-0587</t>
        </is>
      </c>
      <c r="C7" s="15" t="inlineStr">
        <is>
          <t>RES</t>
        </is>
      </c>
      <c r="D7" s="15" t="inlineStr">
        <is>
          <t>2029</t>
        </is>
      </c>
      <c r="E7" s="36" t="inlineStr">
        <is>
          <t>Active — Good Standing</t>
        </is>
      </c>
      <c r="F7" s="15" t="inlineStr">
        <is>
          <t>None</t>
        </is>
      </c>
      <c r="G7" s="15" t="inlineStr">
        <is>
          <t>Transfer completed June 2022; no issues</t>
        </is>
      </c>
    </row>
    <row r="8" ht="45" customHeight="1">
      <c r="A8" s="15" t="inlineStr">
        <is>
          <t>Casper, WY</t>
        </is>
      </c>
      <c r="B8" s="15" t="inlineStr">
        <is>
          <t>WY-HW-2019-033</t>
        </is>
      </c>
      <c r="C8" s="15" t="inlineStr">
        <is>
          <t>RES</t>
        </is>
      </c>
      <c r="D8" s="15" t="inlineStr">
        <is>
          <t>Nov 30, 2024 (EXPIRED)</t>
        </is>
      </c>
      <c r="E8" s="14" t="inlineStr">
        <is>
          <t>Expired — Timely Renewal Filed</t>
        </is>
      </c>
      <c r="F8" s="15" t="inlineStr">
        <is>
          <t>RF #7</t>
        </is>
      </c>
      <c r="G8" s="15" t="inlineStr">
        <is>
          <t>Permit expired; operating under timely renewal provisions; renewal expected Q1 2025</t>
        </is>
      </c>
    </row>
    <row r="9" ht="45" customHeight="1">
      <c r="A9" s="15" t="inlineStr">
        <is>
          <t>Billings, MT</t>
        </is>
      </c>
      <c r="B9" s="15" t="inlineStr">
        <is>
          <t>MT-HW-2022-011</t>
        </is>
      </c>
      <c r="C9" s="15" t="inlineStr">
        <is>
          <t>RES</t>
        </is>
      </c>
      <c r="D9" s="15" t="inlineStr">
        <is>
          <t>Mar 31, 2027</t>
        </is>
      </c>
      <c r="E9" s="36" t="inlineStr">
        <is>
          <t>Active — Good Standing</t>
        </is>
      </c>
      <c r="F9" s="15" t="inlineStr">
        <is>
          <t>None</t>
        </is>
      </c>
      <c r="G9" s="15" t="inlineStr">
        <is>
          <t>No issues identified</t>
        </is>
      </c>
    </row>
    <row r="10" ht="45" customHeight="1">
      <c r="A10" s="15" t="inlineStr">
        <is>
          <t>Idaho Operations</t>
        </is>
      </c>
      <c r="B10" s="15" t="inlineStr">
        <is>
          <t>N/A (EPA ID only)</t>
        </is>
      </c>
      <c r="C10" s="15" t="inlineStr">
        <is>
          <t>RES</t>
        </is>
      </c>
      <c r="D10" s="15" t="inlineStr">
        <is>
          <t>N/A</t>
        </is>
      </c>
      <c r="E10" s="36" t="inlineStr">
        <is>
          <t>Active — No Facility Permit Required</t>
        </is>
      </c>
      <c r="F10" s="15" t="inlineStr">
        <is>
          <t>None</t>
        </is>
      </c>
      <c r="G10" s="15" t="inlineStr">
        <is>
          <t>Emergency response only; no standalone state permit required</t>
        </is>
      </c>
    </row>
    <row r="12" ht="10" customHeight="1"/>
    <row r="13" ht="20" customHeight="1">
      <c r="A13" s="23" t="inlineStr">
        <is>
          <t>SECTION B: CONTAMINATION &amp; REMEDIATION EXPOSURE</t>
        </is>
      </c>
    </row>
    <row r="14" ht="28" customHeight="1">
      <c r="A14" s="24" t="inlineStr">
        <is>
          <t>Issue</t>
        </is>
      </c>
      <c r="B14" s="24" t="inlineStr">
        <is>
          <t>Location</t>
        </is>
      </c>
      <c r="C14" s="24" t="inlineStr">
        <is>
          <t>Contaminants</t>
        </is>
      </c>
      <c r="D14" s="24" t="inlineStr">
        <is>
          <t>2019 Cost Est.</t>
        </is>
      </c>
      <c r="E14" s="24" t="inlineStr">
        <is>
          <t>Current Accrual</t>
        </is>
      </c>
      <c r="F14" s="24" t="inlineStr">
        <is>
          <t>Insurance Coverage</t>
        </is>
      </c>
      <c r="G14" s="24" t="inlineStr">
        <is>
          <t>Key Risk</t>
        </is>
      </c>
    </row>
    <row r="15" ht="55" customHeight="1">
      <c r="A15" s="15" t="inlineStr">
        <is>
          <t>Soil &amp; GW Contamination (pre-acquisition)</t>
        </is>
      </c>
      <c r="B15" s="15" t="inlineStr">
        <is>
          <t>Grand Junction HQ (owned)</t>
        </is>
      </c>
      <c r="C15" s="15" t="inlineStr">
        <is>
          <t>TPH-diesel, benzene, PCE, TCE</t>
        </is>
      </c>
      <c r="D15" s="15" t="inlineStr">
        <is>
          <t>$1.8M-$2.6M (2019 $)</t>
        </is>
      </c>
      <c r="E15" s="15" t="inlineStr">
        <is>
          <t>$2.2M accrued</t>
        </is>
      </c>
      <c r="F15" s="37" t="inlineStr">
        <is>
          <t>EXCLUDED — gradual release exclusion in PLL policy</t>
        </is>
      </c>
      <c r="G15" s="15" t="inlineStr">
        <is>
          <t>Stale estimate; excludes vapor intrusion, off-site migration, DNAPL; no insurance backstop</t>
        </is>
      </c>
    </row>
    <row r="16" ht="55" customHeight="1">
      <c r="A16" s="11" t="inlineStr">
        <is>
          <t>Vapor Intrusion Risk</t>
        </is>
      </c>
      <c r="B16" s="11" t="inlineStr">
        <is>
          <t>Grand Junction — maintenance building (28,000 sq ft, occupied)</t>
        </is>
      </c>
      <c r="C16" s="11" t="inlineStr">
        <is>
          <t>PCE (450 ug/m3), TCE (120 ug/m3) in soil gas — both exceed EPA RSLs</t>
        </is>
      </c>
      <c r="D16" s="11" t="inlineStr">
        <is>
          <t>Not estimated</t>
        </is>
      </c>
      <c r="E16" s="11" t="inlineStr">
        <is>
          <t>$0 accrued</t>
        </is>
      </c>
      <c r="F16" s="11" t="inlineStr">
        <is>
          <t>Not assessed</t>
        </is>
      </c>
      <c r="G16" s="11" t="inlineStr">
        <is>
          <t>No vapor intrusion assessment conducted; building occupied daily by field personnel</t>
        </is>
      </c>
    </row>
    <row r="17" ht="55" customHeight="1">
      <c r="A17" s="15" t="inlineStr">
        <is>
          <t>Off-Site Plume Migration</t>
        </is>
      </c>
      <c r="B17" s="15" t="inlineStr">
        <is>
          <t>Grand Junction — potential migration toward Colorado River</t>
        </is>
      </c>
      <c r="C17" s="15" t="inlineStr">
        <is>
          <t>PCE, TCE, benzene in groundwater</t>
        </is>
      </c>
      <c r="D17" s="15" t="inlineStr">
        <is>
          <t>Not estimated</t>
        </is>
      </c>
      <c r="E17" s="15" t="inlineStr">
        <is>
          <t>$0 accrued</t>
        </is>
      </c>
      <c r="F17" s="15" t="inlineStr">
        <is>
          <t>Not assessed</t>
        </is>
      </c>
      <c r="G17" s="15" t="inlineStr">
        <is>
          <t>No off-site sentinel wells installed; plume containment unconfirmed</t>
        </is>
      </c>
    </row>
    <row r="18" ht="55" customHeight="1">
      <c r="A18" s="11" t="inlineStr">
        <is>
          <t>CDPHE Enforcement Penalty</t>
        </is>
      </c>
      <c r="B18" s="11" t="inlineStr">
        <is>
          <t>Grand Junction HQ</t>
        </is>
      </c>
      <c r="C18" s="11" t="inlineStr">
        <is>
          <t>Regulatory penalty (not contamination)</t>
        </is>
      </c>
      <c r="D18" s="11" t="inlineStr">
        <is>
          <t>$200K-$1.16M</t>
        </is>
      </c>
      <c r="E18" s="11" t="inlineStr">
        <is>
          <t>$0 accrued</t>
        </is>
      </c>
      <c r="F18" s="11" t="inlineStr">
        <is>
          <t>Regulatory defense sublimit $1.0M (PLL)</t>
        </is>
      </c>
      <c r="G18" s="11" t="inlineStr">
        <is>
          <t>Unaccrued; CDPHE and Company dispute violation period</t>
        </is>
      </c>
    </row>
    <row r="19" ht="55" customHeight="1">
      <c r="A19" s="15" t="inlineStr">
        <is>
          <t>Asbestos Long-Tail (2012-2014)</t>
        </is>
      </c>
      <c r="B19" s="15" t="inlineStr">
        <is>
          <t>~145 sites across CO, UT, WY</t>
        </is>
      </c>
      <c r="C19" s="15" t="inlineStr">
        <is>
          <t>Asbestos (completed operations)</t>
        </is>
      </c>
      <c r="D19" s="15" t="inlineStr">
        <is>
          <t>Not quantifiable</t>
        </is>
      </c>
      <c r="E19" s="15" t="inlineStr">
        <is>
          <t>$0 accrued</t>
        </is>
      </c>
      <c r="F19" s="37" t="inlineStr">
        <is>
          <t>EXCLUDED — pre-2015 retroactive date; CGL blanket asbestos exclusion</t>
        </is>
      </c>
      <c r="G19" s="15" t="inlineStr">
        <is>
          <t>Uninsured tail for 2012-2014 work; 2 open WC claims from former employees</t>
        </is>
      </c>
    </row>
  </sheetData>
  <mergeCells count="3">
    <mergeCell ref="A13:G13"/>
    <mergeCell ref="A3:G3"/>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5" customWidth="1" min="1" max="1"/>
    <col width="28" customWidth="1" min="2" max="2"/>
    <col width="16" customWidth="1" min="3" max="3"/>
    <col width="16" customWidth="1" min="4" max="4"/>
    <col width="18" customWidth="1" min="5" max="5"/>
    <col width="20" customWidth="1" min="6" max="6"/>
    <col width="20" customWidth="1" min="7" max="7"/>
    <col width="25" customWidth="1" min="8" max="8"/>
  </cols>
  <sheetData>
    <row r="1" ht="28" customHeight="1">
      <c r="A1" s="22" t="inlineStr">
        <is>
          <t>CUSTOMER CONTRACT ASSIGNMENT &amp; CHANGE-OF-CONTROL RISK MATRIX</t>
        </is>
      </c>
    </row>
    <row r="3" ht="30" customHeight="1">
      <c r="A3" s="24" t="inlineStr">
        <is>
          <t>Rank</t>
        </is>
      </c>
      <c r="B3" s="24" t="inlineStr">
        <is>
          <t>Customer</t>
        </is>
      </c>
      <c r="C3" s="24" t="inlineStr">
        <is>
          <t>FY2024 Rev ($M)</t>
        </is>
      </c>
      <c r="D3" s="24" t="inlineStr">
        <is>
          <t>% of Revenue</t>
        </is>
      </c>
      <c r="E3" s="24" t="inlineStr">
        <is>
          <t>Contract Type</t>
        </is>
      </c>
      <c r="F3" s="24" t="inlineStr">
        <is>
          <t>Assignment / CoC Clause</t>
        </is>
      </c>
      <c r="G3" s="24" t="inlineStr">
        <is>
          <t>Risk Level</t>
        </is>
      </c>
      <c r="H3" s="24" t="inlineStr">
        <is>
          <t>Required Action</t>
        </is>
      </c>
    </row>
    <row r="4" ht="55" customHeight="1">
      <c r="A4" s="11" t="n">
        <v>1</v>
      </c>
      <c r="B4" s="11" t="inlineStr">
        <is>
          <t>U.S. Department of Energy</t>
        </is>
      </c>
      <c r="C4" s="38" t="n">
        <v>24.4</v>
      </c>
      <c r="D4" s="11" t="inlineStr">
        <is>
          <t>19.2%</t>
        </is>
      </c>
      <c r="E4" s="11" t="inlineStr">
        <is>
          <t>IDIQ (5-Year)</t>
        </is>
      </c>
      <c r="F4" s="11" t="inlineStr">
        <is>
          <t>Non-assignable per Anti-Assignment Act; novation notification required within 30 days of ownership change</t>
        </is>
      </c>
      <c r="G4" s="14" t="inlineStr">
        <is>
          <t>CRITICAL</t>
        </is>
      </c>
      <c r="H4" s="11" t="inlineStr">
        <is>
          <t>Obtain CO confirmation of novation requirements before signing; notify within 30 days of closing</t>
        </is>
      </c>
    </row>
    <row r="5" ht="55" customHeight="1">
      <c r="A5" s="15" t="n">
        <v>2</v>
      </c>
      <c r="B5" s="15" t="inlineStr">
        <is>
          <t>Consolidated Mining &amp; Minerals Corp.</t>
        </is>
      </c>
      <c r="C5" s="38" t="n">
        <v>14.5</v>
      </c>
      <c r="D5" s="15" t="inlineStr">
        <is>
          <t>11.4%</t>
        </is>
      </c>
      <c r="E5" s="15" t="inlineStr">
        <is>
          <t>MSA (Annual Auto-Renew)</t>
        </is>
      </c>
      <c r="F5" s="15" t="inlineStr">
        <is>
          <t>No assignment restriction; no CoC clause</t>
        </is>
      </c>
      <c r="G5" s="36" t="inlineStr">
        <is>
          <t>Low</t>
        </is>
      </c>
      <c r="H5" s="15" t="inlineStr">
        <is>
          <t>No action required</t>
        </is>
      </c>
    </row>
    <row r="6" ht="55" customHeight="1">
      <c r="A6" s="11" t="n">
        <v>3</v>
      </c>
      <c r="B6" s="11" t="inlineStr">
        <is>
          <t>Western Slope Municipal Water District</t>
        </is>
      </c>
      <c r="C6" s="38" t="n">
        <v>9.800000000000001</v>
      </c>
      <c r="D6" s="11" t="inlineStr">
        <is>
          <t>7.7%</t>
        </is>
      </c>
      <c r="E6" s="11" t="inlineStr">
        <is>
          <t>Municipal IQ Contract</t>
        </is>
      </c>
      <c r="F6" s="11" t="inlineStr">
        <is>
          <t>Written notice of ownership change required; no consent required for stock transactions</t>
        </is>
      </c>
      <c r="G6" s="36" t="inlineStr">
        <is>
          <t>Low</t>
        </is>
      </c>
      <c r="H6" s="11" t="inlineStr">
        <is>
          <t>Provide written notice of ownership change at closing</t>
        </is>
      </c>
    </row>
    <row r="7" ht="55" customHeight="1">
      <c r="A7" s="15" t="n">
        <v>4</v>
      </c>
      <c r="B7" s="15" t="inlineStr">
        <is>
          <t>High Plains Energy Partners, LLC</t>
        </is>
      </c>
      <c r="C7" s="38" t="n">
        <v>8.300000000000001</v>
      </c>
      <c r="D7" s="15" t="inlineStr">
        <is>
          <t>6.5%</t>
        </is>
      </c>
      <c r="E7" s="15" t="inlineStr">
        <is>
          <t>MSA (Annual Auto-Renew)</t>
        </is>
      </c>
      <c r="F7" s="15" t="inlineStr">
        <is>
          <t>No explicit assignment clause; general assignment restriction under state law</t>
        </is>
      </c>
      <c r="G7" s="36" t="inlineStr">
        <is>
          <t>Low-Medium</t>
        </is>
      </c>
      <c r="H7" s="15" t="inlineStr">
        <is>
          <t>Evaluate state law assignment restrictions; consider notice</t>
        </is>
      </c>
    </row>
    <row r="8" ht="55" customHeight="1">
      <c r="A8" s="11" t="n">
        <v>5</v>
      </c>
      <c r="B8" s="11" t="inlineStr">
        <is>
          <t>Intermountain Health Systems</t>
        </is>
      </c>
      <c r="C8" s="38" t="n">
        <v>7.1</v>
      </c>
      <c r="D8" s="11" t="inlineStr">
        <is>
          <t>5.6%</t>
        </is>
      </c>
      <c r="E8" s="11" t="inlineStr">
        <is>
          <t>Fixed-Price Service Agreement</t>
        </is>
      </c>
      <c r="F8" s="11" t="inlineStr">
        <is>
          <t>Assignment requires prior written consent; CoC clause requires 60-day advance written notice</t>
        </is>
      </c>
      <c r="G8" s="21" t="inlineStr">
        <is>
          <t>Medium</t>
        </is>
      </c>
      <c r="H8" s="11" t="inlineStr">
        <is>
          <t>Provide 60-day advance notice; obtain consent if required; renewal decision due Feb 2025</t>
        </is>
      </c>
    </row>
    <row r="9" ht="55" customHeight="1">
      <c r="A9" s="15" t="n">
        <v>6</v>
      </c>
      <c r="B9" s="15" t="inlineStr">
        <is>
          <t>Wasatch Front Petroleum Refining</t>
        </is>
      </c>
      <c r="C9" s="38" t="n">
        <v>6.4</v>
      </c>
      <c r="D9" s="15" t="inlineStr">
        <is>
          <t>5.0%</t>
        </is>
      </c>
      <c r="E9" s="15" t="inlineStr">
        <is>
          <t>MSA (Pinnacle legacy)</t>
        </is>
      </c>
      <c r="F9" s="15" t="inlineStr">
        <is>
          <t>No explicit CoC clause; Pinnacle legacy contract — assumed by RES post-acquisition</t>
        </is>
      </c>
      <c r="G9" s="21" t="inlineStr">
        <is>
          <t>Medium</t>
        </is>
      </c>
      <c r="H9" s="15" t="inlineStr">
        <is>
          <t>Confirm contract assumption is valid; evaluate whether customer has been notified of Pinnacle acquisition</t>
        </is>
      </c>
    </row>
    <row r="10" ht="55" customHeight="1">
      <c r="A10" s="11" t="n">
        <v>7</v>
      </c>
      <c r="B10" s="11" t="inlineStr">
        <is>
          <t>Silver Creek Mining Co.</t>
        </is>
      </c>
      <c r="C10" s="38" t="n">
        <v>5.8</v>
      </c>
      <c r="D10" s="11" t="inlineStr">
        <is>
          <t>4.6%</t>
        </is>
      </c>
      <c r="E10" s="11" t="inlineStr">
        <is>
          <t>MSA (Pinnacle legacy)</t>
        </is>
      </c>
      <c r="F10" s="11" t="inlineStr">
        <is>
          <t>No assignment restriction; no CoC clause</t>
        </is>
      </c>
      <c r="G10" s="36" t="inlineStr">
        <is>
          <t>Low</t>
        </is>
      </c>
      <c r="H10" s="11" t="inlineStr">
        <is>
          <t>No action required; confirm customer relationship is with RES not Pinnacle</t>
        </is>
      </c>
    </row>
    <row r="11" ht="55" customHeight="1">
      <c r="A11" s="15" t="n">
        <v>8</v>
      </c>
      <c r="B11" s="15" t="inlineStr">
        <is>
          <t>Utah Department of Environmental Quality</t>
        </is>
      </c>
      <c r="C11" s="38" t="n">
        <v>4.6</v>
      </c>
      <c r="D11" s="15" t="inlineStr">
        <is>
          <t>3.6%</t>
        </is>
      </c>
      <c r="E11" s="15" t="inlineStr">
        <is>
          <t>State Contract</t>
        </is>
      </c>
      <c r="F11" s="15" t="inlineStr">
        <is>
          <t>Written notice of ownership change within 30 days; state reserves right to terminate if change materially affects contractor qualifications</t>
        </is>
      </c>
      <c r="G11" s="21" t="inlineStr">
        <is>
          <t>Medium</t>
        </is>
      </c>
      <c r="H11" s="15" t="inlineStr">
        <is>
          <t>Provide written notice within 30 days of closing; confirm no qualification impact</t>
        </is>
      </c>
    </row>
    <row r="12" ht="55" customHeight="1">
      <c r="A12" s="11" t="n">
        <v>9</v>
      </c>
      <c r="B12" s="11" t="inlineStr">
        <is>
          <t>Rocky Mountain Pipeline Systems</t>
        </is>
      </c>
      <c r="C12" s="38" t="n">
        <v>4.2</v>
      </c>
      <c r="D12" s="11" t="inlineStr">
        <is>
          <t>3.3%</t>
        </is>
      </c>
      <c r="E12" s="11" t="inlineStr">
        <is>
          <t>MSA (Annual Auto-Renew)</t>
        </is>
      </c>
      <c r="F12" s="11" t="inlineStr">
        <is>
          <t>Assignment requires prior written consent; CoC triggers 30-day notification and consent period</t>
        </is>
      </c>
      <c r="G12" s="18" t="inlineStr">
        <is>
          <t>Medium-High</t>
        </is>
      </c>
      <c r="H12" s="11" t="inlineStr">
        <is>
          <t>Obtain consent or provide notification; 30-day consent period must be managed around closing timeline</t>
        </is>
      </c>
    </row>
    <row r="13" ht="55" customHeight="1">
      <c r="A13" s="15" t="n">
        <v>10</v>
      </c>
      <c r="B13" s="15" t="inlineStr">
        <is>
          <t>Uinta Basin Oil &amp; Gas Cooperative</t>
        </is>
      </c>
      <c r="C13" s="38" t="n">
        <v>0.2</v>
      </c>
      <c r="D13" s="15" t="inlineStr">
        <is>
          <t>0.2%</t>
        </is>
      </c>
      <c r="E13" s="15" t="inlineStr">
        <is>
          <t>MSA (Pinnacle legacy)</t>
        </is>
      </c>
      <c r="F13" s="15" t="inlineStr">
        <is>
          <t>No explicit CoC clause</t>
        </is>
      </c>
      <c r="G13" s="36" t="inlineStr">
        <is>
          <t>Low</t>
        </is>
      </c>
      <c r="H13" s="15" t="inlineStr">
        <is>
          <t>No action required</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28" customWidth="1" min="1" max="1"/>
    <col width="14" customWidth="1" min="2" max="2"/>
    <col width="14" customWidth="1" min="3" max="3"/>
    <col width="18" customWidth="1" min="4" max="4"/>
    <col width="16" customWidth="1" min="5" max="5"/>
    <col width="16" customWidth="1" min="6" max="6"/>
    <col width="25" customWidth="1" min="7" max="7"/>
  </cols>
  <sheetData>
    <row r="1" ht="28" customHeight="1">
      <c r="A1" s="22" t="inlineStr">
        <is>
          <t>LITIGATION, REGULATORY &amp; CONTINGENT LIABILITY REGISTER</t>
        </is>
      </c>
    </row>
    <row r="3" ht="30" customHeight="1">
      <c r="A3" s="24" t="inlineStr">
        <is>
          <t>Matter</t>
        </is>
      </c>
      <c r="B3" s="24" t="inlineStr">
        <is>
          <t>Status</t>
        </is>
      </c>
      <c r="C3" s="24" t="inlineStr">
        <is>
          <t>Probability</t>
        </is>
      </c>
      <c r="D3" s="24" t="inlineStr">
        <is>
          <t>Est. Exposure (Low)</t>
        </is>
      </c>
      <c r="E3" s="24" t="inlineStr">
        <is>
          <t>Est. Exposure (High)</t>
        </is>
      </c>
      <c r="F3" s="24" t="inlineStr">
        <is>
          <t>Accrual (9/30/24)</t>
        </is>
      </c>
      <c r="G3" s="24" t="inlineStr">
        <is>
          <t>Key Diligence Issue</t>
        </is>
      </c>
    </row>
    <row r="4" ht="55" customHeight="1">
      <c r="A4" s="11" t="inlineStr">
        <is>
          <t>Calloway v. Harper Environmental (counterclaim)</t>
        </is>
      </c>
      <c r="B4" s="11" t="inlineStr">
        <is>
          <t>Pending</t>
        </is>
      </c>
      <c r="C4" s="36" t="inlineStr">
        <is>
          <t>Remote</t>
        </is>
      </c>
      <c r="D4" s="39" t="n">
        <v>0</v>
      </c>
      <c r="E4" s="40" t="n">
        <v>340000</v>
      </c>
      <c r="F4" s="39" t="n">
        <v>0</v>
      </c>
      <c r="G4" s="11" t="inlineStr">
        <is>
          <t>Counterclaim of $340K; management rates as Remote; no reserve</t>
        </is>
      </c>
    </row>
    <row r="5" ht="55" customHeight="1">
      <c r="A5" s="15" t="inlineStr">
        <is>
          <t>Ramirez v. RES (personal injury)</t>
        </is>
      </c>
      <c r="B5" s="15" t="inlineStr">
        <is>
          <t>Pending</t>
        </is>
      </c>
      <c r="C5" s="21" t="inlineStr">
        <is>
          <t>Reasonably Possible</t>
        </is>
      </c>
      <c r="D5" s="40" t="n">
        <v>500000</v>
      </c>
      <c r="E5" s="40" t="n">
        <v>1500000</v>
      </c>
      <c r="F5" s="39" t="n">
        <v>0</v>
      </c>
      <c r="G5" s="15" t="inlineStr">
        <is>
          <t>Coverage uncertainty — reservation of rights issued; no accrual; potential credit agreement Event of Default if &gt;$1M uninsured</t>
        </is>
      </c>
    </row>
    <row r="6" ht="55" customHeight="1">
      <c r="A6" s="11" t="inlineStr">
        <is>
          <t>CDPHE Enforcement (CDPHE-HW-2024-0093)</t>
        </is>
      </c>
      <c r="B6" s="11" t="inlineStr">
        <is>
          <t>Admin. Negotiation</t>
        </is>
      </c>
      <c r="C6" s="18" t="inlineStr">
        <is>
          <t>Probable (some penalty)</t>
        </is>
      </c>
      <c r="D6" s="40" t="n">
        <v>200000</v>
      </c>
      <c r="E6" s="40" t="n">
        <v>1162500</v>
      </c>
      <c r="F6" s="39" t="n">
        <v>0</v>
      </c>
      <c r="G6" s="11" t="inlineStr">
        <is>
          <t>No accrual; Company vs. CDPHE dispute on violation period; upper end = $1.16M</t>
        </is>
      </c>
    </row>
    <row r="7" ht="55" customHeight="1">
      <c r="A7" s="15" t="inlineStr">
        <is>
          <t>Former Employee Wage Claim (FLSA/COMPS)</t>
        </is>
      </c>
      <c r="B7" s="15" t="inlineStr">
        <is>
          <t>Threatened</t>
        </is>
      </c>
      <c r="C7" s="21" t="inlineStr">
        <is>
          <t>Reasonably Possible</t>
        </is>
      </c>
      <c r="D7" s="40" t="n">
        <v>100000</v>
      </c>
      <c r="E7" s="40" t="n">
        <v>200000</v>
      </c>
      <c r="F7" s="39" t="n">
        <v>0</v>
      </c>
      <c r="G7" s="15" t="inlineStr">
        <is>
          <t>8 former asbestos abatement employees; demand letter Oct 2024; no lawsuit filed; no accrual</t>
        </is>
      </c>
    </row>
    <row r="8" ht="55" customHeight="1">
      <c r="A8" s="11" t="inlineStr">
        <is>
          <t>Grand Junction Remediation Obligation</t>
        </is>
      </c>
      <c r="B8" s="11" t="inlineStr">
        <is>
          <t>Future Obligation</t>
        </is>
      </c>
      <c r="C8" s="18" t="inlineStr">
        <is>
          <t>Probable</t>
        </is>
      </c>
      <c r="D8" s="40" t="n">
        <v>1800000</v>
      </c>
      <c r="E8" s="40" t="n">
        <v>2600000</v>
      </c>
      <c r="F8" s="40" t="n">
        <v>2200000</v>
      </c>
      <c r="G8" s="11" t="inlineStr">
        <is>
          <t>Accrual of $2.2M may be insufficient; 2019 estimate excludes vapor intrusion, off-site migration, DNAPL; no insurance</t>
        </is>
      </c>
    </row>
    <row r="9" ht="55" customHeight="1">
      <c r="A9" s="15" t="inlineStr">
        <is>
          <t>Asbestos Long-Tail Claims (2012-2014)</t>
        </is>
      </c>
      <c r="B9" s="15" t="inlineStr">
        <is>
          <t>Potential Future</t>
        </is>
      </c>
      <c r="C9" s="36" t="inlineStr">
        <is>
          <t>Remote (per mgmt)</t>
        </is>
      </c>
      <c r="D9" s="39" t="n">
        <v>0</v>
      </c>
      <c r="E9" s="39" t="n">
        <v>0</v>
      </c>
      <c r="F9" s="39" t="n">
        <v>0</v>
      </c>
      <c r="G9" s="15" t="inlineStr">
        <is>
          <t>Unquantifiable; 2012-2014 work uninsured; 2 open WC claims; latency 10-40 years</t>
        </is>
      </c>
    </row>
    <row r="10" ht="55" customHeight="1">
      <c r="A10" s="11" t="inlineStr">
        <is>
          <t>NLRB Unionization Petition (Teamsters)</t>
        </is>
      </c>
      <c r="B10" s="11" t="inlineStr">
        <is>
          <t>Pending Election</t>
        </is>
      </c>
      <c r="C10" s="21" t="inlineStr">
        <is>
          <t>Reasonably Possible</t>
        </is>
      </c>
      <c r="D10" s="39" t="n">
        <v>0</v>
      </c>
      <c r="E10" s="39" t="n">
        <v>0</v>
      </c>
      <c r="F10" s="39" t="n">
        <v>0</v>
      </c>
      <c r="G10" s="11" t="inlineStr">
        <is>
          <t>62 field technicians at GJ and Casper; filed Nov 4, 2024; financial impact indeterminate</t>
        </is>
      </c>
    </row>
    <row r="11" ht="55" customHeight="1">
      <c r="A11" s="15" t="inlineStr">
        <is>
          <t>CoC Severance — Single Trigger (Calloway)</t>
        </is>
      </c>
      <c r="B11" s="15" t="inlineStr">
        <is>
          <t>Certain at Closing</t>
        </is>
      </c>
      <c r="C11" s="14" t="inlineStr">
        <is>
          <t>Certain</t>
        </is>
      </c>
      <c r="D11" s="40" t="n">
        <v>2625000</v>
      </c>
      <c r="E11" s="40" t="n">
        <v>2625000</v>
      </c>
      <c r="F11" s="39" t="n">
        <v>0</v>
      </c>
      <c r="G11" s="15" t="inlineStr">
        <is>
          <t>CEO + COO single-trigger; payable within 30 days of closing regardless of employment status; LOI silent on allocation</t>
        </is>
      </c>
    </row>
    <row r="12" ht="55" customHeight="1">
      <c r="A12" s="11" t="inlineStr">
        <is>
          <t>CoC Severance — Double Trigger (Engel/Dillon/Oakes)</t>
        </is>
      </c>
      <c r="B12" s="11" t="inlineStr">
        <is>
          <t>Contingent</t>
        </is>
      </c>
      <c r="C12" s="21" t="inlineStr">
        <is>
          <t>Reasonably Possible</t>
        </is>
      </c>
      <c r="D12" s="39" t="n">
        <v>0</v>
      </c>
      <c r="E12" s="40" t="n">
        <v>1150000</v>
      </c>
      <c r="F12" s="39" t="n">
        <v>0</v>
      </c>
      <c r="G12" s="11" t="inlineStr">
        <is>
          <t>Payable only upon qualifying termination/diminution within 12 months post-close</t>
        </is>
      </c>
    </row>
    <row r="13" ht="10" customHeight="1"/>
    <row r="14" ht="22" customHeight="1">
      <c r="A14" s="41" t="inlineStr">
        <is>
          <t>TOTAL UNRESERVED CONTINGENT EXPOSURE (excl. Grand Junction accrued, asbestos unquantifiable)</t>
        </is>
      </c>
      <c r="B14" s="42" t="n"/>
      <c r="C14" s="42" t="n"/>
      <c r="D14" s="43" t="n">
        <v>3425000</v>
      </c>
      <c r="E14" s="43" t="n">
        <v>6777500</v>
      </c>
      <c r="F14" s="42" t="n"/>
      <c r="G14" s="44" t="inlineStr">
        <is>
          <t>Includes: Ramirez ($1.5M), CDPHE ($1.16M), Wage Claim ($200K), CoC Severance ($3.775M)</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2026-08-25T16:30:34Z</dcterms:created>
  <dcterms:modified xmlns:dcterms="http://purl.org/dc/terms/" xmlns:xsi="http://www.w3.org/2001/XMLSchema-instance" xsi:type="dcterms:W3CDTF">2026-08-25T16:30:34Z</dcterms:modified>
</cp:coreProperties>
</file>