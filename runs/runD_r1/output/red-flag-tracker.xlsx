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EBITDA Bridge Analysis" sheetId="2" state="visible" r:id="rId2"/>
    <sheet xmlns:r="http://schemas.openxmlformats.org/officeDocument/2006/relationships" name="DOE Contract Analysis" sheetId="3" state="visible" r:id="rId3"/>
    <sheet xmlns:r="http://schemas.openxmlformats.org/officeDocument/2006/relationships" name="Environmental Liability" sheetId="4" state="visible" r:id="rId4"/>
    <sheet xmlns:r="http://schemas.openxmlformats.org/officeDocument/2006/relationships" name="Transaction Cost Summary" sheetId="5" state="visible" r:id="rId5"/>
    <sheet xmlns:r="http://schemas.openxmlformats.org/officeDocument/2006/relationships" name="Action Items Tracker" sheetId="6" state="visible" r:id="rId6"/>
    <sheet xmlns:r="http://schemas.openxmlformats.org/officeDocument/2006/relationships" name="Contingent Liability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FFFFFF"/>
      <sz val="2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FFE0E0"/>
      </patternFill>
    </fill>
    <fill>
      <patternFill patternType="solid">
        <fgColor rgb="00FFE0B2"/>
      </patternFill>
    </fill>
    <fill>
      <patternFill patternType="solid">
        <fgColor rgb="00E3F2FD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center" vertical="center"/>
    </xf>
    <xf numFmtId="3" fontId="7" fillId="0" borderId="1" applyAlignment="1" pivotButton="0" quotePrefix="0" xfId="0">
      <alignment horizontal="left" vertical="top" wrapText="1"/>
    </xf>
    <xf numFmtId="3" fontId="7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3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164" fontId="7" fillId="6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164" fontId="5" fillId="7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32" customWidth="1" min="4" max="4"/>
    <col width="38" customWidth="1" min="5" max="5"/>
    <col width="28" customWidth="1" min="6" max="6"/>
    <col width="16" customWidth="1" min="7" max="7"/>
    <col width="22" customWidth="1" min="8" max="8"/>
    <col width="14" customWidth="1" min="9" max="9"/>
    <col width="12" customWidth="1" min="10" max="10"/>
    <col width="38" customWidth="1" min="11" max="11"/>
    <col width="55" customWidth="1" min="12" max="12"/>
  </cols>
  <sheetData>
    <row r="1" ht="36" customHeight="1">
      <c r="A1" s="1" t="inlineStr">
        <is>
          <t>PROJECT RIDGELINE — DILIGENCE RED FLAG TRACKER</t>
        </is>
      </c>
    </row>
    <row r="2" ht="20" customHeight="1">
      <c r="A2" s="2" t="inlineStr">
        <is>
          <t>Prepared by Bridgewater Forsyth Group  |  Engagement: Sycamore Capital Partners, LP — Acquisition of Ridgeline Environmental Services, Inc.  |  December 2024</t>
        </is>
      </c>
    </row>
    <row r="3" ht="8" customHeight="1"/>
    <row r="4" ht="22" customHeight="1">
      <c r="A4" s="3" t="inlineStr">
        <is>
          <t>CRITICAL</t>
        </is>
      </c>
      <c r="D4" s="4" t="inlineStr">
        <is>
          <t>HIGH</t>
        </is>
      </c>
      <c r="G4" s="5" t="inlineStr">
        <is>
          <t>MEDIUM</t>
        </is>
      </c>
      <c r="J4" s="6" t="inlineStr">
        <is>
          <t>TOTAL RED FLAGS</t>
        </is>
      </c>
    </row>
    <row r="5" ht="36" customHeight="1">
      <c r="A5" s="7" t="n">
        <v>4</v>
      </c>
      <c r="D5" s="8" t="n">
        <v>12</v>
      </c>
      <c r="G5" s="9" t="n">
        <v>6</v>
      </c>
      <c r="J5" s="10" t="n">
        <v>22</v>
      </c>
    </row>
    <row r="6" ht="8" customHeight="1"/>
    <row r="7" ht="28" customHeight="1">
      <c r="A7" s="11" t="inlineStr">
        <is>
          <t>ID</t>
        </is>
      </c>
      <c r="B7" s="11" t="inlineStr">
        <is>
          <t>Category</t>
        </is>
      </c>
      <c r="C7" s="11" t="inlineStr">
        <is>
          <t>Severity</t>
        </is>
      </c>
      <c r="D7" s="11" t="inlineStr">
        <is>
          <t>Short Title</t>
        </is>
      </c>
      <c r="E7" s="11" t="inlineStr">
        <is>
          <t>Source Document(s)</t>
        </is>
      </c>
      <c r="F7" s="11" t="inlineStr">
        <is>
          <t>Financial Impact (Est.)</t>
        </is>
      </c>
      <c r="G7" s="11" t="inlineStr">
        <is>
          <t>Probability</t>
        </is>
      </c>
      <c r="H7" s="11" t="inlineStr">
        <is>
          <t>Status</t>
        </is>
      </c>
      <c r="I7" s="11" t="inlineStr">
        <is>
          <t>Owner</t>
        </is>
      </c>
      <c r="J7" s="11" t="inlineStr">
        <is>
          <t>Due Date</t>
        </is>
      </c>
      <c r="K7" s="11" t="inlineStr">
        <is>
          <t>SPA Treatment</t>
        </is>
      </c>
      <c r="L7" s="11" t="inlineStr">
        <is>
          <t>Notes / Action Required</t>
        </is>
      </c>
    </row>
    <row r="8" ht="60" customHeight="1">
      <c r="A8" s="12" t="inlineStr">
        <is>
          <t>RF-01</t>
        </is>
      </c>
      <c r="B8" s="12" t="inlineStr">
        <is>
          <t>Financial</t>
        </is>
      </c>
      <c r="C8" s="13" t="inlineStr">
        <is>
          <t>CRITICAL</t>
        </is>
      </c>
      <c r="D8" s="14" t="inlineStr">
        <is>
          <t>$1.0M Unreconciled EBITDA Discrepancy</t>
        </is>
      </c>
      <c r="E8" s="14" t="inlineStr">
        <is>
          <t>QofE Data Response (EBITDA Bridge); CIM §VI.B</t>
        </is>
      </c>
      <c r="F8" s="14" t="inlineStr">
        <is>
          <t>$8M–$9M EV impact at 8–9x multiple</t>
        </is>
      </c>
      <c r="G8" s="14" t="inlineStr">
        <is>
          <t>Confirmed</t>
        </is>
      </c>
      <c r="H8" s="14" t="inlineStr">
        <is>
          <t>Open — Unresolved</t>
        </is>
      </c>
      <c r="I8" s="14" t="inlineStr">
        <is>
          <t>BFG / CFO</t>
        </is>
      </c>
      <c r="J8" s="14" t="inlineStr">
        <is>
          <t>Pre-Signing</t>
        </is>
      </c>
      <c r="K8" s="14" t="inlineStr">
        <is>
          <t>Governs purchase price formula; must be resolved before SPA execution</t>
        </is>
      </c>
      <c r="L8" s="14" t="inlineStr">
        <is>
          <t>CIM states $22.8M Adj. EBITDA; QofE bridge calculates $23.8M. Management has not identified the source of the $1.0M gap. Demand signed reconciliation from CFO.</t>
        </is>
      </c>
    </row>
    <row r="9" ht="60" customHeight="1">
      <c r="A9" s="15" t="inlineStr">
        <is>
          <t>RF-02</t>
        </is>
      </c>
      <c r="B9" s="15" t="inlineStr">
        <is>
          <t>Financial</t>
        </is>
      </c>
      <c r="C9" s="16" t="inlineStr">
        <is>
          <t>HIGH</t>
        </is>
      </c>
      <c r="D9" s="17" t="inlineStr">
        <is>
          <t>Aggressive EBITDA Add-Backs ($5.4M)</t>
        </is>
      </c>
      <c r="E9" s="17" t="inlineStr">
        <is>
          <t>QofE Data Response (EBITDA Bridge, Exec Comp tabs); CIM §VI.B</t>
        </is>
      </c>
      <c r="F9" s="17" t="inlineStr">
        <is>
          <t>$2M–$5M EV impact; $1.0M owner comp understatement</t>
        </is>
      </c>
      <c r="G9" s="17" t="inlineStr">
        <is>
          <t>Reasonably Possible</t>
        </is>
      </c>
      <c r="H9" s="17" t="inlineStr">
        <is>
          <t>Open — Under Review</t>
        </is>
      </c>
      <c r="I9" s="17" t="inlineStr">
        <is>
          <t>BFG</t>
        </is>
      </c>
      <c r="J9" s="17" t="inlineStr">
        <is>
          <t>Pre-Signing</t>
        </is>
      </c>
      <c r="K9" s="17" t="inlineStr">
        <is>
          <t>Validate each add-back; restate owner comp normalization on total-comp basis</t>
        </is>
      </c>
      <c r="L9" s="17" t="inlineStr">
        <is>
          <t>Pinnacle integration costs ($800K) 2.5 yrs post-close; ERP Phase 2 not complete; owner comp normalization excludes 50% bonus target.</t>
        </is>
      </c>
    </row>
    <row r="10" ht="60" customHeight="1">
      <c r="A10" s="12" t="inlineStr">
        <is>
          <t>RF-03</t>
        </is>
      </c>
      <c r="B10" s="12" t="inlineStr">
        <is>
          <t>Financial</t>
        </is>
      </c>
      <c r="C10" s="16" t="inlineStr">
        <is>
          <t>HIGH</t>
        </is>
      </c>
      <c r="D10" s="14" t="inlineStr">
        <is>
          <t>Bank EBITDA $4.4M Below Management EBITDA</t>
        </is>
      </c>
      <c r="E10" s="14" t="inlineStr">
        <is>
          <t>Credit Agreement Summary §4; QofE Data Response</t>
        </is>
      </c>
      <c r="F10" s="14" t="inlineStr">
        <is>
          <t>Covenant risk under downside scenarios</t>
        </is>
      </c>
      <c r="G10" s="14" t="inlineStr">
        <is>
          <t>Confirmed</t>
        </is>
      </c>
      <c r="H10" s="14" t="inlineStr">
        <is>
          <t>Open — Monitoring Required</t>
        </is>
      </c>
      <c r="I10" s="14" t="inlineStr">
        <is>
          <t>BFG / Legal</t>
        </is>
      </c>
      <c r="J10" s="14" t="inlineStr">
        <is>
          <t>Pre-Signing</t>
        </is>
      </c>
      <c r="K10" s="14" t="inlineStr">
        <is>
          <t>Model covenants on bank-definition EBITDA; include in acquisition financing model</t>
        </is>
      </c>
      <c r="L10" s="14" t="inlineStr">
        <is>
          <t>Bank Consolidated EBITDA = $18.4M vs. management $22.8M. None of the $5.4M add-backs qualify under the credit agreement definition. Bank leverage = 2.10x.</t>
        </is>
      </c>
    </row>
    <row r="11" ht="60" customHeight="1">
      <c r="A11" s="15" t="inlineStr">
        <is>
          <t>RF-04</t>
        </is>
      </c>
      <c r="B11" s="15" t="inlineStr">
        <is>
          <t>Financial</t>
        </is>
      </c>
      <c r="C11" s="18" t="inlineStr">
        <is>
          <t>MEDIUM</t>
        </is>
      </c>
      <c r="D11" s="17" t="inlineStr">
        <is>
          <t>27% Reported EBITDA Decline YoY</t>
        </is>
      </c>
      <c r="E11" s="17" t="inlineStr">
        <is>
          <t>QofE Data Response (Historical P&amp;L tab)</t>
        </is>
      </c>
      <c r="F11" s="17" t="inlineStr">
        <is>
          <t>Margin quality concern; potential structural compression</t>
        </is>
      </c>
      <c r="G11" s="17" t="inlineStr">
        <is>
          <t>Reasonably Possible</t>
        </is>
      </c>
      <c r="H11" s="17" t="inlineStr">
        <is>
          <t>Open — Under Review</t>
        </is>
      </c>
      <c r="I11" s="17" t="inlineStr">
        <is>
          <t>BFG</t>
        </is>
      </c>
      <c r="J11" s="17" t="inlineStr">
        <is>
          <t>Pre-Signing</t>
        </is>
      </c>
      <c r="K11" s="17" t="inlineStr">
        <is>
          <t>Obtain FY2023→FY2024 EBITDA bridge; confirm no recurring costs in non-recurring bucket</t>
        </is>
      </c>
      <c r="L11" s="17" t="inlineStr">
        <is>
          <t>Reported EBITDA fell from $25.2M (FY2023) to $18.4M (FY2024) while revenue grew 11.1%. EBITDA margin compressed from 22.0% to 14.5%.</t>
        </is>
      </c>
    </row>
    <row r="12" ht="60" customHeight="1">
      <c r="A12" s="12" t="inlineStr">
        <is>
          <t>RF-05</t>
        </is>
      </c>
      <c r="B12" s="12" t="inlineStr">
        <is>
          <t>Revenue</t>
        </is>
      </c>
      <c r="C12" s="13" t="inlineStr">
        <is>
          <t>CRITICAL</t>
        </is>
      </c>
      <c r="D12" s="14" t="inlineStr">
        <is>
          <t>DOE IDIQ Ceiling Exhaustion — $12.1M Revenue Cliff</t>
        </is>
      </c>
      <c r="E12" s="14" t="inlineStr">
        <is>
          <t>Customer Contract Summary (DOE IDIQ Utilization tab); CIM §VI.D</t>
        </is>
      </c>
      <c r="F12" s="14" t="inlineStr">
        <is>
          <t>$12.1M revenue headwind; $2M–$2.5M EBITDA impact</t>
        </is>
      </c>
      <c r="G12" s="14" t="inlineStr">
        <is>
          <t>Probable</t>
        </is>
      </c>
      <c r="H12" s="14" t="inlineStr">
        <is>
          <t>Open — Critical</t>
        </is>
      </c>
      <c r="I12" s="14" t="inlineStr">
        <is>
          <t>BFG / Management</t>
        </is>
      </c>
      <c r="J12" s="14" t="inlineStr">
        <is>
          <t>Pre-Signing</t>
        </is>
      </c>
      <c r="K12" s="14" t="inlineStr">
        <is>
          <t>Model at ceiling-constrained DOE revenue; consider earnout or price adjustment</t>
        </is>
      </c>
      <c r="L12" s="14" t="inlineStr">
        <is>
          <t>72.7% of $45M ceiling consumed in 61.7% of contract period. Ceiling exhaustion projected April–May 2025 (closing date). 16 months of unfunded contract period remain through Aug 2026.</t>
        </is>
      </c>
    </row>
    <row r="13" ht="60" customHeight="1">
      <c r="A13" s="15" t="inlineStr">
        <is>
          <t>RF-06</t>
        </is>
      </c>
      <c r="B13" s="15" t="inlineStr">
        <is>
          <t>Revenue</t>
        </is>
      </c>
      <c r="C13" s="16" t="inlineStr">
        <is>
          <t>HIGH</t>
        </is>
      </c>
      <c r="D13" s="17" t="inlineStr">
        <is>
          <t>DOE Contract Non-Assignability / Novation Risk</t>
        </is>
      </c>
      <c r="E13" s="17" t="inlineStr">
        <is>
          <t>Customer Contract Summary (Top 20 tab, DOE footnote); CIM §VIII.A</t>
        </is>
      </c>
      <c r="F13" s="17" t="inlineStr">
        <is>
          <t>Loss of $24.4M revenue relationship</t>
        </is>
      </c>
      <c r="G13" s="17" t="inlineStr">
        <is>
          <t>Reasonably Possible</t>
        </is>
      </c>
      <c r="H13" s="17" t="inlineStr">
        <is>
          <t>Open — Action Required</t>
        </is>
      </c>
      <c r="I13" s="17" t="inlineStr">
        <is>
          <t>Legal / Management</t>
        </is>
      </c>
      <c r="J13" s="17" t="inlineStr">
        <is>
          <t>Pre-Signing</t>
        </is>
      </c>
      <c r="K13" s="17" t="inlineStr">
        <is>
          <t>Novation agreement or CO written confirmation required as closing condition</t>
        </is>
      </c>
      <c r="L13" s="17" t="inlineStr">
        <is>
          <t>Anti-Assignment Act (41 U.S.C. § 6305) and FAR 42.12 apply. Contract Clause H-12 requires 30-day notification of ownership change. DOE not yet contacted.</t>
        </is>
      </c>
    </row>
    <row r="14" ht="60" customHeight="1">
      <c r="A14" s="12" t="inlineStr">
        <is>
          <t>RF-07</t>
        </is>
      </c>
      <c r="B14" s="12" t="inlineStr">
        <is>
          <t>Revenue</t>
        </is>
      </c>
      <c r="C14" s="16" t="inlineStr">
        <is>
          <t>HIGH</t>
        </is>
      </c>
      <c r="D14" s="14" t="inlineStr">
        <is>
          <t>Customer Concentration; Short-Notice Termination Rights</t>
        </is>
      </c>
      <c r="E14" s="14" t="inlineStr">
        <is>
          <t>Customer Contract Summary (Concentration tab); CIM §VI.D</t>
        </is>
      </c>
      <c r="F14" s="14" t="inlineStr">
        <is>
          <t>Revenue volatility; Intermountain renewal risk ($7.1M)</t>
        </is>
      </c>
      <c r="G14" s="14" t="inlineStr">
        <is>
          <t>Reasonably Possible</t>
        </is>
      </c>
      <c r="H14" s="14" t="inlineStr">
        <is>
          <t>Open — Monitoring Required</t>
        </is>
      </c>
      <c r="I14" s="14" t="inlineStr">
        <is>
          <t>BFG / BD</t>
        </is>
      </c>
      <c r="J14" s="14" t="inlineStr">
        <is>
          <t>Pre-Signing</t>
        </is>
      </c>
      <c r="K14" s="14" t="inlineStr">
        <is>
          <t>Obtain written retention confirmations from CMMC and Intermountain; confirm renewal</t>
        </is>
      </c>
      <c r="L14" s="14" t="inlineStr">
        <is>
          <t>Top 5 = 50.4% of revenue. 12 of top 20 contracts terminable on ≤60 days notice. Intermountain Health ($7.1M) expires June 30, 2025; renewal not yet exercised.</t>
        </is>
      </c>
    </row>
    <row r="15" ht="60" customHeight="1">
      <c r="A15" s="15" t="inlineStr">
        <is>
          <t>RF-08</t>
        </is>
      </c>
      <c r="B15" s="15" t="inlineStr">
        <is>
          <t>Revenue</t>
        </is>
      </c>
      <c r="C15" s="16" t="inlineStr">
        <is>
          <t>HIGH</t>
        </is>
      </c>
      <c r="D15" s="17" t="inlineStr">
        <is>
          <t>SLC Facility — $16.2M Revenue at Risk (Lease + Permit)</t>
        </is>
      </c>
      <c r="E15" s="17" t="inlineStr">
        <is>
          <t>Real Property Lease Schedule §4.1; Environmental Permit Schedule §2.2; Customer Contract Summary</t>
        </is>
      </c>
      <c r="F15" s="17" t="inlineStr">
        <is>
          <t>$16.2M annual revenue disruption risk</t>
        </is>
      </c>
      <c r="G15" s="17" t="inlineStr">
        <is>
          <t>Reasonably Possible</t>
        </is>
      </c>
      <c r="H15" s="17" t="inlineStr">
        <is>
          <t>Open — Critical</t>
        </is>
      </c>
      <c r="I15" s="17" t="inlineStr">
        <is>
          <t>Legal / Management</t>
        </is>
      </c>
      <c r="J15" s="17" t="inlineStr">
        <is>
          <t>Pre-Signing</t>
        </is>
      </c>
      <c r="K15" s="17" t="inlineStr">
        <is>
          <t>Landlord consent (dual) and Utah DEQ permit transfer required as closing conditions</t>
        </is>
      </c>
      <c r="L15" s="17" t="inlineStr">
        <is>
          <t>SLC lease in Pinnacle name; consent requested April 2022, never received. Permit UTH-0441 still in Pinnacle name. Landlord sent compliance inquiry Nov 2024. Sycamore acquisition = second CoC event.</t>
        </is>
      </c>
    </row>
    <row r="16" ht="60" customHeight="1">
      <c r="A16" s="12" t="inlineStr">
        <is>
          <t>RF-09</t>
        </is>
      </c>
      <c r="B16" s="12" t="inlineStr">
        <is>
          <t>Environmental</t>
        </is>
      </c>
      <c r="C16" s="13" t="inlineStr">
        <is>
          <t>CRITICAL</t>
        </is>
      </c>
      <c r="D16" s="14" t="inlineStr">
        <is>
          <t>Grand Junction Phase II ESA Five Years Stale</t>
        </is>
      </c>
      <c r="E16" s="14" t="inlineStr">
        <is>
          <t>Phase II ESA Executive Summary (June 2019); Litigation Summary §VI.A; Lease Schedule §2.1</t>
        </is>
      </c>
      <c r="F16" s="14" t="inlineStr">
        <is>
          <t>$2M–$10M+ remediation; vapor intrusion liability unknown</t>
        </is>
      </c>
      <c r="G16" s="14" t="inlineStr">
        <is>
          <t>Probable</t>
        </is>
      </c>
      <c r="H16" s="14" t="inlineStr">
        <is>
          <t>Open — Critical</t>
        </is>
      </c>
      <c r="I16" s="14" t="inlineStr">
        <is>
          <t>Environmental Counsel</t>
        </is>
      </c>
      <c r="J16" s="14" t="inlineStr">
        <is>
          <t>Pre-Signing</t>
        </is>
      </c>
      <c r="K16" s="14" t="inlineStr">
        <is>
          <t>Separate environmental escrow; specific indemnity with extended survival (6 yrs per LOI)</t>
        </is>
      </c>
      <c r="L16" s="14" t="inlineStr">
        <is>
          <t>PCE at 18 mg/kg (5.3x CDPHE limit); TCE at 6.8 mg/kg (3.0x limit). ESA recommends off-site wells and vapor intrusion assessment — neither completed. DNAPLs may have migrated since 2019.</t>
        </is>
      </c>
    </row>
    <row r="17" ht="60" customHeight="1">
      <c r="A17" s="15" t="inlineStr">
        <is>
          <t>RF-10</t>
        </is>
      </c>
      <c r="B17" s="15" t="inlineStr">
        <is>
          <t>Environmental</t>
        </is>
      </c>
      <c r="C17" s="16" t="inlineStr">
        <is>
          <t>HIGH</t>
        </is>
      </c>
      <c r="D17" s="17" t="inlineStr">
        <is>
          <t>CDPHE Enforcement — Up to $1.16M Penalty; No Accrual</t>
        </is>
      </c>
      <c r="E17" s="17" t="inlineStr">
        <is>
          <t>Litigation Summary §III.A; Environmental Permit Schedule §2.1; LOI §5.5</t>
        </is>
      </c>
      <c r="F17" s="17" t="inlineStr">
        <is>
          <t>$200K–$1,162,500 unaccrued penalty</t>
        </is>
      </c>
      <c r="G17" s="17" t="inlineStr">
        <is>
          <t>Probable (some penalty)</t>
        </is>
      </c>
      <c r="H17" s="17" t="inlineStr">
        <is>
          <t>Open — Administrative Negotiation</t>
        </is>
      </c>
      <c r="I17" s="17" t="inlineStr">
        <is>
          <t>Legal / Management</t>
        </is>
      </c>
      <c r="J17" s="17" t="inlineStr">
        <is>
          <t>Pre-Closing</t>
        </is>
      </c>
      <c r="K17" s="17" t="inlineStr">
        <is>
          <t>Specific indemnification provision; require accrual of $200K minimum before closing</t>
        </is>
      </c>
      <c r="L17" s="17" t="inlineStr">
        <is>
          <t>CDPHE-HW-2024-0093 issued July 18, 2024. Company: 12-day violation ($450K max). CDPHE: 31-day violation ($1.16M max). No balance sheet accrual as of Sept 30, 2024.</t>
        </is>
      </c>
    </row>
    <row r="18" ht="60" customHeight="1">
      <c r="A18" s="12" t="inlineStr">
        <is>
          <t>RF-11</t>
        </is>
      </c>
      <c r="B18" s="12" t="inlineStr">
        <is>
          <t>Environmental</t>
        </is>
      </c>
      <c r="C18" s="16" t="inlineStr">
        <is>
          <t>HIGH</t>
        </is>
      </c>
      <c r="D18" s="14" t="inlineStr">
        <is>
          <t>Wyoming Casper Permit Expired Nov 30, 2024</t>
        </is>
      </c>
      <c r="E18" s="14" t="inlineStr">
        <is>
          <t>Environmental Permit Schedule §2.4; Credit Agreement Summary §10</t>
        </is>
      </c>
      <c r="F18" s="14" t="inlineStr">
        <is>
          <t>Operational disruption; potential Event of Default</t>
        </is>
      </c>
      <c r="G18" s="14" t="inlineStr">
        <is>
          <t>Reasonably Possible</t>
        </is>
      </c>
      <c r="H18" s="14" t="inlineStr">
        <is>
          <t>Open — Timely Renewal Pending</t>
        </is>
      </c>
      <c r="I18" s="14" t="inlineStr">
        <is>
          <t>Legal / Operations</t>
        </is>
      </c>
      <c r="J18" s="14" t="inlineStr">
        <is>
          <t>Pre-Closing</t>
        </is>
      </c>
      <c r="K18" s="14" t="inlineStr">
        <is>
          <t>Renewed permit or written DEQ confirmation required as closing condition; notify lender</t>
        </is>
      </c>
      <c r="L18" s="14" t="inlineStr">
        <is>
          <t>WY-HW-2019-033 expired November 30, 2024. Renewal filed October 15, 2024. Operating under timely renewal provisions. Credit agreement treats permit non-renewal as Event of Default.</t>
        </is>
      </c>
    </row>
    <row r="19" ht="60" customHeight="1">
      <c r="A19" s="15" t="inlineStr">
        <is>
          <t>RF-12</t>
        </is>
      </c>
      <c r="B19" s="15" t="inlineStr">
        <is>
          <t>Environmental</t>
        </is>
      </c>
      <c r="C19" s="16" t="inlineStr">
        <is>
          <t>HIGH</t>
        </is>
      </c>
      <c r="D19" s="17" t="inlineStr">
        <is>
          <t>Asbestos Tail Liability — Pre-2015 Work Uninsured</t>
        </is>
      </c>
      <c r="E19" s="17" t="inlineStr">
        <is>
          <t>Insurance Program Summary §2, §4; Litigation Summary §VI.B; QofE Service Line Detail tab</t>
        </is>
      </c>
      <c r="F19" s="17" t="inlineStr">
        <is>
          <t>Unquantifiable long-tail bodily injury exposure</t>
        </is>
      </c>
      <c r="G19" s="17" t="inlineStr">
        <is>
          <t>Remote (per management)</t>
        </is>
      </c>
      <c r="H19" s="17" t="inlineStr">
        <is>
          <t>Open — Monitoring Required</t>
        </is>
      </c>
      <c r="I19" s="17" t="inlineStr">
        <is>
          <t>Legal / Insurance</t>
        </is>
      </c>
      <c r="J19" s="17" t="inlineStr">
        <is>
          <t>Pre-Closing</t>
        </is>
      </c>
      <c r="K19" s="17" t="inlineStr">
        <is>
          <t>Asbestos completed operations tail policy (2012–2014) or dedicated escrow with 10-yr survival</t>
        </is>
      </c>
      <c r="L19" s="17" t="inlineStr">
        <is>
          <t>PLL retroactive date = Jan 1, 2015. Work at 145 sites from 2012–2014 uninsured. CGL has blanket asbestos exclusion. Two open WC claims from former asbestos employees.</t>
        </is>
      </c>
    </row>
    <row r="20" ht="60" customHeight="1">
      <c r="A20" s="12" t="inlineStr">
        <is>
          <t>RF-13</t>
        </is>
      </c>
      <c r="B20" s="12" t="inlineStr">
        <is>
          <t>Environmental</t>
        </is>
      </c>
      <c r="C20" s="18" t="inlineStr">
        <is>
          <t>MEDIUM</t>
        </is>
      </c>
      <c r="D20" s="14" t="inlineStr">
        <is>
          <t>Remediation Accrual Understated (2019 Estimates)</t>
        </is>
      </c>
      <c r="E20" s="14" t="inlineStr">
        <is>
          <t>Phase II ESA Executive Summary §7; Litigation Summary §VI.A; Lease Schedule §2.1</t>
        </is>
      </c>
      <c r="F20" s="14" t="inlineStr">
        <is>
          <t>$1M–$5M+ understatement vs. current costs</t>
        </is>
      </c>
      <c r="G20" s="14" t="inlineStr">
        <is>
          <t>Probable</t>
        </is>
      </c>
      <c r="H20" s="14" t="inlineStr">
        <is>
          <t>Open — Pending Updated ESA</t>
        </is>
      </c>
      <c r="I20" s="14" t="inlineStr">
        <is>
          <t>Environmental Counsel</t>
        </is>
      </c>
      <c r="J20" s="14" t="inlineStr">
        <is>
          <t>Pre-Closing</t>
        </is>
      </c>
      <c r="K20" s="14" t="inlineStr">
        <is>
          <t>Adjust purchase price or escrow based on updated independent cost estimate</t>
        </is>
      </c>
      <c r="L20" s="14" t="inlineStr">
        <is>
          <t>$2.2M accrual based on 2019 estimates in 2019 dollars. Excludes vapor intrusion mitigation, off-site remediation, and NRD claims. DNAPL contamination carries significant cost uncertainty.</t>
        </is>
      </c>
    </row>
    <row r="21" ht="60" customHeight="1">
      <c r="A21" s="15" t="inlineStr">
        <is>
          <t>RF-14</t>
        </is>
      </c>
      <c r="B21" s="15" t="inlineStr">
        <is>
          <t>Legal</t>
        </is>
      </c>
      <c r="C21" s="16" t="inlineStr">
        <is>
          <t>HIGH</t>
        </is>
      </c>
      <c r="D21" s="17" t="inlineStr">
        <is>
          <t>Ramirez Lawsuit — $4.8M Claimed; Coverage Uncertain</t>
        </is>
      </c>
      <c r="E21" s="17" t="inlineStr">
        <is>
          <t>Litigation Summary §II.B; Insurance Program Summary §7</t>
        </is>
      </c>
      <c r="F21" s="17" t="inlineStr">
        <is>
          <t>Up to $4.8M uninsured exposure</t>
        </is>
      </c>
      <c r="G21" s="17" t="inlineStr">
        <is>
          <t>Reasonably Possible</t>
        </is>
      </c>
      <c r="H21" s="17" t="inlineStr">
        <is>
          <t>Open — Pending Coverage Determination</t>
        </is>
      </c>
      <c r="I21" s="17" t="inlineStr">
        <is>
          <t>Legal</t>
        </is>
      </c>
      <c r="J21" s="17" t="inlineStr">
        <is>
          <t>Pre-Closing</t>
        </is>
      </c>
      <c r="K21" s="17" t="inlineStr">
        <is>
          <t>Specific indemnification provision; obtain coverage determination before closing</t>
        </is>
      </c>
      <c r="L21" s="17" t="inlineStr">
        <is>
          <t>Case No. 2:24-cv-00187 (D. Wyo.). Filed Aug 12, 2024. Insurer issued reservation of rights Sept 19, 2024. Coverage determination pending. Credit agreement: judgment &gt;$1M without insurance = Event of Default.</t>
        </is>
      </c>
    </row>
    <row r="22" ht="60" customHeight="1">
      <c r="A22" s="12" t="inlineStr">
        <is>
          <t>RF-15</t>
        </is>
      </c>
      <c r="B22" s="12" t="inlineStr">
        <is>
          <t>Legal</t>
        </is>
      </c>
      <c r="C22" s="18" t="inlineStr">
        <is>
          <t>MEDIUM</t>
        </is>
      </c>
      <c r="D22" s="14" t="inlineStr">
        <is>
          <t>FLSA Wage Claim — $330K Unaccrued</t>
        </is>
      </c>
      <c r="E22" s="14" t="inlineStr">
        <is>
          <t>Litigation Summary §V.A; Employee Benefits Summary §8</t>
        </is>
      </c>
      <c r="F22" s="14" t="inlineStr">
        <is>
          <t>$100K–$330K unaccrued exposure</t>
        </is>
      </c>
      <c r="G22" s="14" t="inlineStr">
        <is>
          <t>Reasonably Possible</t>
        </is>
      </c>
      <c r="H22" s="14" t="inlineStr">
        <is>
          <t>Open — Demand Letter Received</t>
        </is>
      </c>
      <c r="I22" s="14" t="inlineStr">
        <is>
          <t>Legal</t>
        </is>
      </c>
      <c r="J22" s="14" t="inlineStr">
        <is>
          <t>Pre-Closing</t>
        </is>
      </c>
      <c r="K22" s="14" t="inlineStr">
        <is>
          <t>Require accrual of estimated exposure; obtain employment counsel analysis</t>
        </is>
      </c>
      <c r="L22" s="14" t="inlineStr">
        <is>
          <t>October 2024 demand letter from 8 former asbestos abatement employees. FLSA + COMPS Order overtime claims. Motor carrier exemption defense may not apply to all claimants.</t>
        </is>
      </c>
    </row>
    <row r="23" ht="60" customHeight="1">
      <c r="A23" s="15" t="inlineStr">
        <is>
          <t>RF-16</t>
        </is>
      </c>
      <c r="B23" s="15" t="inlineStr">
        <is>
          <t>Legal</t>
        </is>
      </c>
      <c r="C23" s="18" t="inlineStr">
        <is>
          <t>MEDIUM</t>
        </is>
      </c>
      <c r="D23" s="17" t="inlineStr">
        <is>
          <t>OSHA Recordkeeping Violations — TRIR Reliability</t>
        </is>
      </c>
      <c r="E23" s="17" t="inlineStr">
        <is>
          <t>Litigation Summary §III.B; Employee Benefits Summary §6</t>
        </is>
      </c>
      <c r="F23" s="17" t="inlineStr">
        <is>
          <t>Safety metric integrity; potential OSHA scrutiny</t>
        </is>
      </c>
      <c r="G23" s="17" t="inlineStr">
        <is>
          <t>Confirmed (closed)</t>
        </is>
      </c>
      <c r="H23" s="17" t="inlineStr">
        <is>
          <t>Closed — Monitoring Required</t>
        </is>
      </c>
      <c r="I23" s="17" t="inlineStr">
        <is>
          <t>Operations / Legal</t>
        </is>
      </c>
      <c r="J23" s="17" t="inlineStr">
        <is>
          <t>Pre-Signing</t>
        </is>
      </c>
      <c r="K23" s="17" t="inlineStr">
        <is>
          <t>Obtain corrected Form 300 logs; recalculate TRIR; confirm no open OSHA investigations</t>
        </is>
      </c>
      <c r="L23" s="17" t="inlineStr">
        <is>
          <t>March 2024 OSHA citations at Grand Junction and Casper for failure to timely record 3 injuries in 2023. $4,580 penalties paid. Reported TRIR of 2.8 may be understated.</t>
        </is>
      </c>
    </row>
    <row r="24" ht="60" customHeight="1">
      <c r="A24" s="12" t="inlineStr">
        <is>
          <t>RF-17</t>
        </is>
      </c>
      <c r="B24" s="12" t="inlineStr">
        <is>
          <t>Transaction</t>
        </is>
      </c>
      <c r="C24" s="13" t="inlineStr">
        <is>
          <t>CRITICAL</t>
        </is>
      </c>
      <c r="D24" s="14" t="inlineStr">
        <is>
          <t>$38.7M Credit Facility Mandatory Prepayment at Closing</t>
        </is>
      </c>
      <c r="E24" s="14" t="inlineStr">
        <is>
          <t>Credit Agreement Summary §8, §9</t>
        </is>
      </c>
      <c r="F24" s="14" t="inlineStr">
        <is>
          <t>$39.2M+ cash requirement; $263K prepayment premium</t>
        </is>
      </c>
      <c r="G24" s="14" t="inlineStr">
        <is>
          <t>Confirmed</t>
        </is>
      </c>
      <c r="H24" s="14" t="inlineStr">
        <is>
          <t>Open — Refinancing Required</t>
        </is>
      </c>
      <c r="I24" s="14" t="inlineStr">
        <is>
          <t>Finance / Legal</t>
        </is>
      </c>
      <c r="J24" s="14" t="inlineStr">
        <is>
          <t>Pre-Closing</t>
        </is>
      </c>
      <c r="K24" s="14" t="inlineStr">
        <is>
          <t>Include prepayment premium and accrued interest in Net Debt; obtain payoff letter</t>
        </is>
      </c>
      <c r="L24" s="14" t="inlineStr">
        <is>
          <t>Change of Control triggers mandatory prepayment within 5 business days. No waiver mechanism. Term loan prepayment premium = 1.00% × $26.3M = $263K (Year 3 schedule). Revolving commitment permanently terminated.</t>
        </is>
      </c>
    </row>
    <row r="25" ht="60" customHeight="1">
      <c r="A25" s="15" t="inlineStr">
        <is>
          <t>RF-18</t>
        </is>
      </c>
      <c r="B25" s="15" t="inlineStr">
        <is>
          <t>Transaction</t>
        </is>
      </c>
      <c r="C25" s="16" t="inlineStr">
        <is>
          <t>HIGH</t>
        </is>
      </c>
      <c r="D25" s="17" t="inlineStr">
        <is>
          <t>$2.625M Single-Trigger Severance — Treatment Unresolved</t>
        </is>
      </c>
      <c r="E25" s="17" t="inlineStr">
        <is>
          <t>Employment Agreements Summary §8; QofE Exec Comp tab; LOI §4(c)</t>
        </is>
      </c>
      <c r="F25" s="17" t="inlineStr">
        <is>
          <t>$2.625M unallocated cost</t>
        </is>
      </c>
      <c r="G25" s="17" t="inlineStr">
        <is>
          <t>Confirmed</t>
        </is>
      </c>
      <c r="H25" s="17" t="inlineStr">
        <is>
          <t>Open — SPA Negotiation Required</t>
        </is>
      </c>
      <c r="I25" s="17" t="inlineStr">
        <is>
          <t>Legal / HR</t>
        </is>
      </c>
      <c r="J25" s="17" t="inlineStr">
        <is>
          <t>Pre-Signing</t>
        </is>
      </c>
      <c r="K25" s="17" t="inlineStr">
        <is>
          <t>Classify as Transaction Expenses (seller-borne) in SPA; negotiate post-closing employment terms</t>
        </is>
      </c>
      <c r="L25" s="17" t="inlineStr">
        <is>
          <t>CEO and COO each entitled to $1,312,500 (18 months base salary) payable within 30 days of closing regardless of continued employment. Classification as seller vs. buyer cost unresolved in LOI.</t>
        </is>
      </c>
    </row>
    <row r="26" ht="60" customHeight="1">
      <c r="A26" s="12" t="inlineStr">
        <is>
          <t>RF-19</t>
        </is>
      </c>
      <c r="B26" s="12" t="inlineStr">
        <is>
          <t>Transaction</t>
        </is>
      </c>
      <c r="C26" s="16" t="inlineStr">
        <is>
          <t>HIGH</t>
        </is>
      </c>
      <c r="D26" s="14" t="inlineStr">
        <is>
          <t>7 Leases Require Consent; SLC Dual Consent Problem</t>
        </is>
      </c>
      <c r="E26" s="14" t="inlineStr">
        <is>
          <t>Real Property Lease Schedule §6; Litigation Summary §V.B</t>
        </is>
      </c>
      <c r="F26" s="14" t="inlineStr">
        <is>
          <t>Closing risk; potential lease termination</t>
        </is>
      </c>
      <c r="G26" s="14" t="inlineStr">
        <is>
          <t>Reasonably Possible</t>
        </is>
      </c>
      <c r="H26" s="14" t="inlineStr">
        <is>
          <t>Open — Consents Pending</t>
        </is>
      </c>
      <c r="I26" s="14" t="inlineStr">
        <is>
          <t>Legal</t>
        </is>
      </c>
      <c r="J26" s="14" t="inlineStr">
        <is>
          <t>Pre-Closing</t>
        </is>
      </c>
      <c r="K26" s="14" t="inlineStr">
        <is>
          <t>All 7 landlord consents required as closing conditions; SLC dual consent is priority</t>
        </is>
      </c>
      <c r="L26" s="14" t="inlineStr">
        <is>
          <t>SLC: (1) Pinnacle-to-RES assignment never consented (2022); (2) Sycamore acquisition = second CoC event. Landlord sent compliance inquiry Nov 2024. 6 other facilities require consent analysis.</t>
        </is>
      </c>
    </row>
    <row r="27" ht="60" customHeight="1">
      <c r="A27" s="15" t="inlineStr">
        <is>
          <t>RF-20</t>
        </is>
      </c>
      <c r="B27" s="15" t="inlineStr">
        <is>
          <t>Transaction</t>
        </is>
      </c>
      <c r="C27" s="18" t="inlineStr">
        <is>
          <t>MEDIUM</t>
        </is>
      </c>
      <c r="D27" s="17" t="inlineStr">
        <is>
          <t>FY2024 Financials Unaudited; Auditor Change Unexplained</t>
        </is>
      </c>
      <c r="E27" s="17" t="inlineStr">
        <is>
          <t>QofE Data Response (Cover tab); CIM §VI.A; LOI §8(i)</t>
        </is>
      </c>
      <c r="F27" s="17" t="inlineStr">
        <is>
          <t>Closing delay; potential audit adjustments</t>
        </is>
      </c>
      <c r="G27" s="17" t="inlineStr">
        <is>
          <t>Reasonably Possible</t>
        </is>
      </c>
      <c r="H27" s="17" t="inlineStr">
        <is>
          <t>Open — Audit Required</t>
        </is>
      </c>
      <c r="I27" s="17" t="inlineStr">
        <is>
          <t>Finance / Legal</t>
        </is>
      </c>
      <c r="J27" s="17" t="inlineStr">
        <is>
          <t>Pre-Closing</t>
        </is>
      </c>
      <c r="K27" s="17" t="inlineStr">
        <is>
          <t>Engage PCAOB-registered auditor; confirm FY2024 audit timeline vs. April 30, 2025 closing</t>
        </is>
      </c>
      <c r="L27" s="17" t="inlineStr">
        <is>
          <t>FY2024 TTM is 'reviewed (unaudited).' Auditor changed from Plante Moran PLLC to Hansen &amp; Whitfield CPAs — reason unexplained. LOI requires audited FY2022–FY2024 financials as closing condition.</t>
        </is>
      </c>
    </row>
    <row r="28" ht="60" customHeight="1">
      <c r="A28" s="12" t="inlineStr">
        <is>
          <t>RF-21</t>
        </is>
      </c>
      <c r="B28" s="12" t="inlineStr">
        <is>
          <t>Fleet/Capex</t>
        </is>
      </c>
      <c r="C28" s="16" t="inlineStr">
        <is>
          <t>HIGH</t>
        </is>
      </c>
      <c r="D28" s="14" t="inlineStr">
        <is>
          <t>44.7% Fleet Past Useful Life — $9.8M Replacement Backlog</t>
        </is>
      </c>
      <c r="E28" s="14" t="inlineStr">
        <is>
          <t>QofE Data Response (Fleet &amp; Equipment Schedule, Capex Detail tabs)</t>
        </is>
      </c>
      <c r="F28" s="14" t="inlineStr">
        <is>
          <t>$3.3M/yr capex understatement vs. management estimate</t>
        </is>
      </c>
      <c r="G28" s="14" t="inlineStr">
        <is>
          <t>Confirmed</t>
        </is>
      </c>
      <c r="H28" s="14" t="inlineStr">
        <is>
          <t>Open — Assessment Required</t>
        </is>
      </c>
      <c r="I28" s="14" t="inlineStr">
        <is>
          <t>Operations / Finance</t>
        </is>
      </c>
      <c r="J28" s="14" t="inlineStr">
        <is>
          <t>Pre-Signing</t>
        </is>
      </c>
      <c r="K28" s="14" t="inlineStr">
        <is>
          <t>Recast normalized maintenance capex; obtain independent fleet condition assessment</t>
        </is>
      </c>
      <c r="L28" s="14" t="inlineStr">
        <is>
          <t>38 of 85 assets at or past useful life. Average fleet age 8.2 yrs vs. 7.0 yr useful life. $9.8M replacement cost for past-life units. Management normalized capex of $4.0–4.5M excludes catch-up.</t>
        </is>
      </c>
    </row>
    <row r="29" ht="60" customHeight="1">
      <c r="A29" s="15" t="inlineStr">
        <is>
          <t>RF-22</t>
        </is>
      </c>
      <c r="B29" s="15" t="inlineStr">
        <is>
          <t>Human Capital</t>
        </is>
      </c>
      <c r="C29" s="16" t="inlineStr">
        <is>
          <t>HIGH</t>
        </is>
      </c>
      <c r="D29" s="17" t="inlineStr">
        <is>
          <t>NLRB Petition (62 Employees) — Undisclosed in CIM</t>
        </is>
      </c>
      <c r="E29" s="17" t="inlineStr">
        <is>
          <t>Employee Benefits Summary §7 (footnote); CIM §VII</t>
        </is>
      </c>
      <c r="F29" s="17" t="inlineStr">
        <is>
          <t>Labor cost increase 10–20%; potential MAC</t>
        </is>
      </c>
      <c r="G29" s="17" t="inlineStr">
        <is>
          <t>Reasonably Possible</t>
        </is>
      </c>
      <c r="H29" s="17" t="inlineStr">
        <is>
          <t>Open — Critical</t>
        </is>
      </c>
      <c r="I29" s="17" t="inlineStr">
        <is>
          <t>Legal / HR</t>
        </is>
      </c>
      <c r="J29" s="17" t="inlineStr">
        <is>
          <t>Pre-Signing</t>
        </is>
      </c>
      <c r="K29" s="17" t="inlineStr">
        <is>
          <t>Full disclosure required; assess MAC implications; evaluate CBA financial impact</t>
        </is>
      </c>
      <c r="L29" s="17" t="inlineStr">
        <is>
          <t>Teamsters Local 455 NLRB petition filed Nov 4, 2024 covering 62 field technicians at Grand Junction and Casper. Not disclosed in CIM, litigation summary, or any primary data room document.</t>
        </is>
      </c>
    </row>
  </sheetData>
  <mergeCells count="10">
    <mergeCell ref="J5:L5"/>
    <mergeCell ref="A2:L2"/>
    <mergeCell ref="D5:F5"/>
    <mergeCell ref="A5:C5"/>
    <mergeCell ref="G5:I5"/>
    <mergeCell ref="A1:L1"/>
    <mergeCell ref="D4:F4"/>
    <mergeCell ref="G4:I4"/>
    <mergeCell ref="J4:L4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18" customWidth="1" min="4" max="4"/>
    <col width="28" customWidth="1" min="5" max="5"/>
    <col width="55" customWidth="1" min="6" max="6"/>
  </cols>
  <sheetData>
    <row r="1" ht="30" customHeight="1">
      <c r="A1" s="19" t="inlineStr">
        <is>
          <t>PROJECT RIDGELINE — EBITDA BRIDGE ANALYSIS (RF-01, RF-02, RF-03)</t>
        </is>
      </c>
    </row>
    <row r="2" ht="18" customHeight="1">
      <c r="A2" s="2" t="inlineStr">
        <is>
          <t>Source: QofE Data Response (EBITDA Bridge tab) vs. CIM §VI.B vs. Credit Agreement §4  |  All figures in $000s</t>
        </is>
      </c>
    </row>
    <row r="3" ht="8" customHeight="1"/>
    <row r="4" ht="24" customHeight="1">
      <c r="A4" s="11" t="inlineStr">
        <is>
          <t>Line Item</t>
        </is>
      </c>
      <c r="B4" s="11" t="inlineStr">
        <is>
          <t>Management (QofE)</t>
        </is>
      </c>
      <c r="C4" s="11" t="inlineStr">
        <is>
          <t>CIM Stated</t>
        </is>
      </c>
      <c r="D4" s="11" t="inlineStr">
        <is>
          <t>Bank Definition</t>
        </is>
      </c>
      <c r="E4" s="11" t="inlineStr">
        <is>
          <t>BFG Concern</t>
        </is>
      </c>
      <c r="F4" s="11" t="inlineStr">
        <is>
          <t>Notes</t>
        </is>
      </c>
    </row>
    <row r="5" ht="45" customHeight="1">
      <c r="A5" s="17" t="inlineStr">
        <is>
          <t>Reported EBITDA (FY2024 TTM)</t>
        </is>
      </c>
      <c r="B5" s="20" t="n">
        <v>18400</v>
      </c>
      <c r="C5" s="20" t="n">
        <v>18400</v>
      </c>
      <c r="D5" s="20" t="n">
        <v>18400</v>
      </c>
      <c r="E5" s="17" t="inlineStr">
        <is>
          <t>—</t>
        </is>
      </c>
      <c r="F5" s="17" t="inlineStr">
        <is>
          <t>Starting point per management; consistent across all three presentations</t>
        </is>
      </c>
    </row>
    <row r="6" ht="45" customHeight="1">
      <c r="A6" s="14" t="inlineStr">
        <is>
          <t>Add: Litigation Settlement (Clearwater)</t>
        </is>
      </c>
      <c r="B6" s="21" t="n">
        <v>1200</v>
      </c>
      <c r="C6" s="21" t="n">
        <v>1200</v>
      </c>
      <c r="D6" s="14" t="inlineStr">
        <is>
          <t>Not permitted</t>
        </is>
      </c>
      <c r="E6" s="14" t="inlineStr">
        <is>
          <t>Verify non-recurrence</t>
        </is>
      </c>
      <c r="F6" s="14" t="inlineStr">
        <is>
          <t>Clearwater settlement receipt — correctly characterized as non-recurring per litigation summary</t>
        </is>
      </c>
    </row>
    <row r="7" ht="45" customHeight="1">
      <c r="A7" s="17" t="inlineStr">
        <is>
          <t>Add: Owner Compensation Normalization</t>
        </is>
      </c>
      <c r="B7" s="20" t="n">
        <v>950</v>
      </c>
      <c r="C7" s="20" t="n">
        <v>950</v>
      </c>
      <c r="D7" s="17" t="inlineStr">
        <is>
          <t>Not permitted</t>
        </is>
      </c>
      <c r="E7" s="17" t="inlineStr">
        <is>
          <t>Understated — excludes bonus</t>
        </is>
      </c>
      <c r="F7" s="17" t="inlineStr">
        <is>
          <t>Normalizes base salary only ($875K→$400K each). Actual total comp incl. 50% bonus target = $1,312.5K each. Full normalization = ~$1,825K</t>
        </is>
      </c>
    </row>
    <row r="8" ht="45" customHeight="1">
      <c r="A8" s="14" t="inlineStr">
        <is>
          <t>Add: ERP Implementation Costs</t>
        </is>
      </c>
      <c r="B8" s="21" t="n">
        <v>650</v>
      </c>
      <c r="C8" s="21" t="n">
        <v>650</v>
      </c>
      <c r="D8" s="14" t="inlineStr">
        <is>
          <t>Not permitted</t>
        </is>
      </c>
      <c r="E8" s="14" t="inlineStr">
        <is>
          <t>Phase 2 not complete</t>
        </is>
      </c>
      <c r="F8" s="14" t="inlineStr">
        <is>
          <t>QofE bridge notes Phase 2 completion expected Q2 FY2025 — further costs likely post-closing</t>
        </is>
      </c>
    </row>
    <row r="9" ht="45" customHeight="1">
      <c r="A9" s="17" t="inlineStr">
        <is>
          <t>Add: Pinnacle Integration Costs</t>
        </is>
      </c>
      <c r="B9" s="20" t="n">
        <v>800</v>
      </c>
      <c r="C9" s="20" t="n">
        <v>800</v>
      </c>
      <c r="D9" s="17" t="inlineStr">
        <is>
          <t>Not permitted</t>
        </is>
      </c>
      <c r="E9" s="17" t="inlineStr">
        <is>
          <t>2.5 yrs post-close — recurring?</t>
        </is>
      </c>
      <c r="F9" s="17" t="inlineStr">
        <is>
          <t>Acquisition closed March 2022. Integration costs in FY2024 ($800K) suggest either incomplete integration or recurring costs misclassified</t>
        </is>
      </c>
    </row>
    <row r="10" ht="45" customHeight="1">
      <c r="A10" s="14" t="inlineStr">
        <is>
          <t>Add: Asbestos Wind-Down Costs</t>
        </is>
      </c>
      <c r="B10" s="21" t="n">
        <v>1800</v>
      </c>
      <c r="C10" s="21" t="n">
        <v>1800</v>
      </c>
      <c r="D10" s="14" t="inlineStr">
        <is>
          <t>Not permitted</t>
        </is>
      </c>
      <c r="E10" s="14" t="inlineStr">
        <is>
          <t>Tail costs may continue</t>
        </is>
      </c>
      <c r="F10" s="14" t="inlineStr">
        <is>
          <t>Service line discontinued Sept 30, 2023. Two open WC claims from former asbestos employees suggest additional tail costs possible</t>
        </is>
      </c>
    </row>
    <row r="11" ht="45" customHeight="1">
      <c r="A11" s="22" t="inlineStr">
        <is>
          <t>Total Add-Backs</t>
        </is>
      </c>
      <c r="B11" s="23" t="n">
        <v>5400</v>
      </c>
      <c r="C11" s="23" t="n">
        <v>5400</v>
      </c>
      <c r="D11" s="22" t="inlineStr">
        <is>
          <t>≤$500K permitted</t>
        </is>
      </c>
      <c r="E11" s="22" t="inlineStr">
        <is>
          <t>~$4.9M not qualifying</t>
        </is>
      </c>
      <c r="F11" s="22" t="inlineStr">
        <is>
          <t>Only up to $500K of non-recurring extraordinary charges qualify under bank Consolidated EBITDA definition</t>
        </is>
      </c>
    </row>
    <row r="12" ht="45" customHeight="1">
      <c r="A12" s="22" t="inlineStr">
        <is>
          <t>Management Adjusted EBITDA</t>
        </is>
      </c>
      <c r="B12" s="23" t="n">
        <v>23800</v>
      </c>
      <c r="C12" s="23" t="n">
        <v>22800</v>
      </c>
      <c r="D12" s="23" t="n">
        <v>18400</v>
      </c>
      <c r="E12" s="22" t="inlineStr">
        <is>
          <t>RF-01: $1.0M gap unresolved</t>
        </is>
      </c>
      <c r="F12" s="22" t="inlineStr">
        <is>
          <t>QofE bridge = $23.8M; CIM = $22.8M. Source of $1.0M discrepancy not identified by management</t>
        </is>
      </c>
    </row>
    <row r="13" ht="45" customHeight="1">
      <c r="A13" s="22" t="inlineStr">
        <is>
          <t>BFG Adjusted EBITDA (Preliminary)</t>
        </is>
      </c>
      <c r="B13" s="22" t="inlineStr">
        <is>
          <t>~$21,000–$22,000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Pending full QofE validation</t>
        </is>
      </c>
      <c r="F13" s="22" t="inlineStr">
        <is>
          <t>Preliminary BFG view pending: (1) resolution of $1.0M gap; (2) restatement of owner comp normalization; (3) validation of integration cost characterization</t>
        </is>
      </c>
    </row>
    <row r="14" ht="45" customHeight="1">
      <c r="A14" s="22" t="inlineStr">
        <is>
          <t>Implied EV at 8.0x (Management)</t>
        </is>
      </c>
      <c r="B14" s="22">
        <f>$23,800×8</f>
        <v/>
      </c>
      <c r="C14" s="22">
        <f>$22,800×8</f>
        <v/>
      </c>
      <c r="D14" s="22">
        <f>$18,400×8</f>
        <v/>
      </c>
      <c r="E14" s="22" t="inlineStr">
        <is>
          <t>—</t>
        </is>
      </c>
      <c r="F14" s="22" t="inlineStr"/>
    </row>
    <row r="15" ht="45" customHeight="1">
      <c r="A15" s="22" t="inlineStr">
        <is>
          <t>Implied EV at 8.0x ($M)</t>
        </is>
      </c>
      <c r="B15" s="23" t="n">
        <v>190.4</v>
      </c>
      <c r="C15" s="23" t="n">
        <v>182.4</v>
      </c>
      <c r="D15" s="23" t="n">
        <v>147.2</v>
      </c>
      <c r="E15" s="22" t="inlineStr">
        <is>
          <t>—</t>
        </is>
      </c>
      <c r="F15" s="22" t="inlineStr"/>
    </row>
    <row r="16" ht="45" customHeight="1">
      <c r="A16" s="22" t="inlineStr">
        <is>
          <t>Implied EV at 9.0x ($M)</t>
        </is>
      </c>
      <c r="B16" s="23" t="n">
        <v>214.2</v>
      </c>
      <c r="C16" s="23" t="n">
        <v>205.2</v>
      </c>
      <c r="D16" s="23" t="n">
        <v>165.6</v>
      </c>
      <c r="E16" s="22" t="inlineStr">
        <is>
          <t>—</t>
        </is>
      </c>
      <c r="F16" s="22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60" customWidth="1" min="3" max="3"/>
  </cols>
  <sheetData>
    <row r="1" ht="30" customHeight="1">
      <c r="A1" s="19" t="inlineStr">
        <is>
          <t>PROJECT RIDGELINE — DOE IDIQ CONTRACT CEILING ANALYSIS (RF-05, RF-06)</t>
        </is>
      </c>
    </row>
    <row r="2" ht="18" customHeight="1">
      <c r="A2" s="2" t="inlineStr">
        <is>
          <t>Source: Customer Contract Summary (DOE IDIQ Utilization tab)  |  Contract No. DE-EM-0005523  |  All figures in $000s</t>
        </is>
      </c>
    </row>
    <row r="3" ht="8" customHeight="1"/>
    <row r="4" ht="24" customHeight="1">
      <c r="A4" s="11" t="inlineStr">
        <is>
          <t>Metric</t>
        </is>
      </c>
      <c r="B4" s="11" t="inlineStr">
        <is>
          <t>Value</t>
        </is>
      </c>
      <c r="C4" s="11" t="inlineStr">
        <is>
          <t>Notes</t>
        </is>
      </c>
    </row>
    <row r="5" ht="30" customHeight="1">
      <c r="A5" s="15" t="inlineStr">
        <is>
          <t>IDIQ Contract Ceiling</t>
        </is>
      </c>
      <c r="B5" s="17" t="inlineStr">
        <is>
          <t>$45,000</t>
        </is>
      </c>
      <c r="C5" s="17" t="inlineStr">
        <is>
          <t>Maximum contract value per DE-EM-0005523</t>
        </is>
      </c>
    </row>
    <row r="6" ht="30" customHeight="1">
      <c r="A6" s="12" t="inlineStr">
        <is>
          <t>Cumulative Ceiling Consumed</t>
        </is>
      </c>
      <c r="B6" s="14" t="inlineStr">
        <is>
          <t>$32,700</t>
        </is>
      </c>
      <c r="C6" s="14" t="inlineStr">
        <is>
          <t>72.7% of ceiling consumed</t>
        </is>
      </c>
    </row>
    <row r="7" ht="30" customHeight="1">
      <c r="A7" s="15" t="inlineStr">
        <is>
          <t>Remaining Ceiling Available</t>
        </is>
      </c>
      <c r="B7" s="17" t="inlineStr">
        <is>
          <t>$12,300</t>
        </is>
      </c>
      <c r="C7" s="17" t="inlineStr">
        <is>
          <t>Available for new task order issuance</t>
        </is>
      </c>
    </row>
    <row r="8" ht="30" customHeight="1">
      <c r="A8" s="12" t="inlineStr">
        <is>
          <t>Contract Period Elapsed</t>
        </is>
      </c>
      <c r="B8" s="14" t="inlineStr">
        <is>
          <t>61.7%</t>
        </is>
      </c>
      <c r="C8" s="14" t="inlineStr">
        <is>
          <t>37 of 60 months elapsed (Sept 2021 – Oct 2024)</t>
        </is>
      </c>
    </row>
    <row r="9" ht="30" customHeight="1">
      <c r="A9" s="15" t="inlineStr">
        <is>
          <t>Ceiling Utilization vs. Time Elapsed</t>
        </is>
      </c>
      <c r="B9" s="17" t="inlineStr">
        <is>
          <t>+11.0 ppts</t>
        </is>
      </c>
      <c r="C9" s="17" t="inlineStr">
        <is>
          <t>Ceiling consumption outpacing contract timeline</t>
        </is>
      </c>
    </row>
    <row r="10" ht="30" customHeight="1">
      <c r="A10" s="12" t="inlineStr">
        <is>
          <t>Current TTM Revenue Run Rate</t>
        </is>
      </c>
      <c r="B10" s="14" t="inlineStr">
        <is>
          <t>$24,400/yr</t>
        </is>
      </c>
      <c r="C10" s="14" t="inlineStr">
        <is>
          <t>~$2,033/month</t>
        </is>
      </c>
    </row>
    <row r="11" ht="30" customHeight="1">
      <c r="A11" s="24" t="inlineStr">
        <is>
          <t>Projected Ceiling Exhaustion Date</t>
        </is>
      </c>
      <c r="B11" s="25" t="inlineStr">
        <is>
          <t>April–May 2025</t>
        </is>
      </c>
      <c r="C11" s="25" t="inlineStr">
        <is>
          <t>At current run rate — coincides with target closing date</t>
        </is>
      </c>
    </row>
    <row r="12" ht="30" customHeight="1">
      <c r="A12" s="12" t="inlineStr">
        <is>
          <t>Contract Expiration Date</t>
        </is>
      </c>
      <c r="B12" s="14" t="inlineStr">
        <is>
          <t>August 31, 2026</t>
        </is>
      </c>
      <c r="C12" s="14" t="inlineStr">
        <is>
          <t>~16 months of unfunded contract period after ceiling exhaustion</t>
        </is>
      </c>
    </row>
    <row r="13" ht="30" customHeight="1">
      <c r="A13" s="24" t="inlineStr">
        <is>
          <t>FY2025 Revenue at Risk</t>
        </is>
      </c>
      <c r="B13" s="25" t="inlineStr">
        <is>
          <t>~$12,100</t>
        </is>
      </c>
      <c r="C13" s="25" t="inlineStr">
        <is>
          <t>Potential revenue headwind if ceiling not increased</t>
        </is>
      </c>
    </row>
    <row r="14" ht="30" customHeight="1">
      <c r="A14" s="24" t="inlineStr">
        <is>
          <t>FY2025 EBITDA Impact (est.)</t>
        </is>
      </c>
      <c r="B14" s="25" t="inlineStr">
        <is>
          <t>~$2,000–$2,500</t>
        </is>
      </c>
      <c r="C14" s="25" t="inlineStr">
        <is>
          <t>At 17–20% contribution margin on lost revenue</t>
        </is>
      </c>
    </row>
    <row r="15" ht="30" customHeight="1">
      <c r="A15" s="15" t="inlineStr">
        <is>
          <t>Assignment Restriction</t>
        </is>
      </c>
      <c r="B15" s="17" t="inlineStr">
        <is>
          <t>Anti-Assignment Act (41 U.S.C. § 6305)</t>
        </is>
      </c>
      <c r="C15" s="17" t="inlineStr">
        <is>
          <t>Non-assignable without Contracting Officer consent; novation required</t>
        </is>
      </c>
    </row>
    <row r="16" ht="30" customHeight="1">
      <c r="A16" s="12" t="inlineStr">
        <is>
          <t>Notification Requirement</t>
        </is>
      </c>
      <c r="B16" s="14" t="inlineStr">
        <is>
          <t>30 days from ownership change</t>
        </is>
      </c>
      <c r="C16" s="14" t="inlineStr">
        <is>
          <t>Contract Clause H-12; failure = grounds for termination for default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8" customWidth="1" min="4" max="4"/>
    <col width="22" customWidth="1" min="5" max="5"/>
    <col width="38" customWidth="1" min="6" max="6"/>
    <col width="55" customWidth="1" min="7" max="7"/>
  </cols>
  <sheetData>
    <row r="1" ht="30" customHeight="1">
      <c r="A1" s="19" t="inlineStr">
        <is>
          <t>PROJECT RIDGELINE — ENVIRONMENTAL LIABILITY SUMMARY (RF-09, RF-10, RF-11, RF-12, RF-13)</t>
        </is>
      </c>
    </row>
    <row r="2" ht="18" customHeight="1">
      <c r="A2" s="2" t="inlineStr">
        <is>
          <t>Source: Phase II ESA; Litigation Summary; Environmental Permit Schedule; Insurance Program Summary  |  All figures in $000s</t>
        </is>
      </c>
    </row>
    <row r="3" ht="8" customHeight="1"/>
    <row r="4" ht="24" customHeight="1">
      <c r="A4" s="11" t="inlineStr">
        <is>
          <t>Matter</t>
        </is>
      </c>
      <c r="B4" s="11" t="inlineStr">
        <is>
          <t>RF</t>
        </is>
      </c>
      <c r="C4" s="11" t="inlineStr">
        <is>
          <t>Severity</t>
        </is>
      </c>
      <c r="D4" s="11" t="inlineStr">
        <is>
          <t>Company Accrual ($K)</t>
        </is>
      </c>
      <c r="E4" s="11" t="inlineStr">
        <is>
          <t>BFG Est. Exposure ($K)</t>
        </is>
      </c>
      <c r="F4" s="11" t="inlineStr">
        <is>
          <t>Insurance Coverage</t>
        </is>
      </c>
      <c r="G4" s="11" t="inlineStr">
        <is>
          <t>Action Required</t>
        </is>
      </c>
    </row>
    <row r="5" ht="55" customHeight="1">
      <c r="A5" s="17" t="inlineStr">
        <is>
          <t>Grand Junction Soil/GW Contamination (2019 ESA)</t>
        </is>
      </c>
      <c r="B5" s="17" t="inlineStr">
        <is>
          <t>RF-09/13</t>
        </is>
      </c>
      <c r="C5" s="13" t="inlineStr">
        <is>
          <t>CRITICAL</t>
        </is>
      </c>
      <c r="D5" s="20" t="n">
        <v>2200</v>
      </c>
      <c r="E5" s="17" t="inlineStr">
        <is>
          <t>2,600–10,000+</t>
        </is>
      </c>
      <c r="F5" s="17" t="inlineStr">
        <is>
          <t>Excluded — gradual release exclusion in PLL policy</t>
        </is>
      </c>
      <c r="G5" s="17" t="inlineStr">
        <is>
          <t>Commission updated Phase II ESA and vapor intrusion assessment immediately. Negotiate separate environmental escrow.</t>
        </is>
      </c>
    </row>
    <row r="6" ht="55" customHeight="1">
      <c r="A6" s="14" t="inlineStr">
        <is>
          <t>Vapor Intrusion — Vehicle Maintenance Building</t>
        </is>
      </c>
      <c r="B6" s="14" t="inlineStr">
        <is>
          <t>RF-09</t>
        </is>
      </c>
      <c r="C6" s="13" t="inlineStr">
        <is>
          <t>CRITICAL</t>
        </is>
      </c>
      <c r="D6" s="21" t="n">
        <v>0</v>
      </c>
      <c r="E6" s="14" t="inlineStr">
        <is>
          <t>Unknown — not assessed</t>
        </is>
      </c>
      <c r="F6" s="14" t="inlineStr">
        <is>
          <t>Not assessed; potentially excluded as gradual release</t>
        </is>
      </c>
      <c r="G6" s="14" t="inlineStr">
        <is>
          <t>Sub-slab soil gas and indoor air quality sampling required. Potential occupational health liability for current employees.</t>
        </is>
      </c>
    </row>
    <row r="7" ht="55" customHeight="1">
      <c r="A7" s="17" t="inlineStr">
        <is>
          <t>Off-Site Groundwater Migration (unconfirmed)</t>
        </is>
      </c>
      <c r="B7" s="17" t="inlineStr">
        <is>
          <t>RF-09</t>
        </is>
      </c>
      <c r="C7" s="16" t="inlineStr">
        <is>
          <t>HIGH</t>
        </is>
      </c>
      <c r="D7" s="20" t="n">
        <v>0</v>
      </c>
      <c r="E7" s="17" t="inlineStr">
        <is>
          <t>Unknown — off-site wells not installed</t>
        </is>
      </c>
      <c r="F7" s="17" t="inlineStr">
        <is>
          <t>Excluded if gradual release</t>
        </is>
      </c>
      <c r="G7" s="17" t="inlineStr">
        <is>
          <t>ESA recommended off-site sentinel wells — not installed. If off-site migration confirmed, remediation scope and cost increase materially.</t>
        </is>
      </c>
    </row>
    <row r="8" ht="55" customHeight="1">
      <c r="A8" s="14" t="inlineStr">
        <is>
          <t>CDPHE Enforcement Action (CDPHE-HW-2024-0093)</t>
        </is>
      </c>
      <c r="B8" s="14" t="inlineStr">
        <is>
          <t>RF-10</t>
        </is>
      </c>
      <c r="C8" s="16" t="inlineStr">
        <is>
          <t>HIGH</t>
        </is>
      </c>
      <c r="D8" s="21" t="n">
        <v>0</v>
      </c>
      <c r="E8" s="14" t="inlineStr">
        <is>
          <t>200–1,163</t>
        </is>
      </c>
      <c r="F8" s="14" t="inlineStr">
        <is>
          <t>Regulatory defense sublimit $1M (PLL); penalty itself not insured</t>
        </is>
      </c>
      <c r="G8" s="14" t="inlineStr">
        <is>
          <t>Require $200K accrual before closing. Negotiate specific indemnification with survival through final resolution.</t>
        </is>
      </c>
    </row>
    <row r="9" ht="55" customHeight="1">
      <c r="A9" s="17" t="inlineStr">
        <is>
          <t>Wyoming Permit Expiration (WY-HW-2019-033)</t>
        </is>
      </c>
      <c r="B9" s="17" t="inlineStr">
        <is>
          <t>RF-11</t>
        </is>
      </c>
      <c r="C9" s="16" t="inlineStr">
        <is>
          <t>HIGH</t>
        </is>
      </c>
      <c r="D9" s="20" t="n">
        <v>0</v>
      </c>
      <c r="E9" s="17" t="inlineStr">
        <is>
          <t>Operational disruption risk</t>
        </is>
      </c>
      <c r="F9" s="17" t="inlineStr">
        <is>
          <t>Not applicable — permit/regulatory matter</t>
        </is>
      </c>
      <c r="G9" s="17" t="inlineStr">
        <is>
          <t>Obtain renewed permit or written DEQ confirmation as closing condition. Notify lender per credit agreement affirmative covenants.</t>
        </is>
      </c>
    </row>
    <row r="10" ht="55" customHeight="1">
      <c r="A10" s="14" t="inlineStr">
        <is>
          <t>Asbestos Long-Tail — Pre-2015 Operations (2012–2014)</t>
        </is>
      </c>
      <c r="B10" s="14" t="inlineStr">
        <is>
          <t>RF-12</t>
        </is>
      </c>
      <c r="C10" s="16" t="inlineStr">
        <is>
          <t>HIGH</t>
        </is>
      </c>
      <c r="D10" s="21" t="n">
        <v>0</v>
      </c>
      <c r="E10" s="14" t="inlineStr">
        <is>
          <t>Unquantifiable</t>
        </is>
      </c>
      <c r="F10" s="14" t="inlineStr">
        <is>
          <t>NOT COVERED — PLL retroactive date Jan 1, 2015; CGL blanket asbestos exclusion</t>
        </is>
      </c>
      <c r="G10" s="14" t="inlineStr">
        <is>
          <t>Procure asbestos completed operations tail policy for 2012–2014 period, or negotiate dedicated escrow with 10-year survival.</t>
        </is>
      </c>
    </row>
    <row r="11" ht="55" customHeight="1">
      <c r="A11" s="17" t="inlineStr">
        <is>
          <t>Asbestos Long-Tail — Post-2015 Operations (2015–2023)</t>
        </is>
      </c>
      <c r="B11" s="17" t="inlineStr">
        <is>
          <t>RF-12</t>
        </is>
      </c>
      <c r="C11" s="18" t="inlineStr">
        <is>
          <t>MEDIUM</t>
        </is>
      </c>
      <c r="D11" s="20" t="n">
        <v>0</v>
      </c>
      <c r="E11" s="17" t="inlineStr">
        <is>
          <t>Unquantifiable</t>
        </is>
      </c>
      <c r="F11" s="17" t="inlineStr">
        <is>
          <t>PLL policy covers (claims-made; retroactive date Jan 1, 2015)</t>
        </is>
      </c>
      <c r="G11" s="17" t="inlineStr">
        <is>
          <t>Confirm PLL tail/extended reporting period is procured at closing. Assess whether claims-made structure creates gap post-closing.</t>
        </is>
      </c>
    </row>
    <row r="12" ht="55" customHeight="1">
      <c r="A12" s="22" t="inlineStr">
        <is>
          <t>TOTAL ACCRUED ENVIRONMENTAL RESERVES</t>
        </is>
      </c>
      <c r="B12" s="22" t="inlineStr">
        <is>
          <t>—</t>
        </is>
      </c>
      <c r="C12" s="22" t="inlineStr">
        <is>
          <t>—</t>
        </is>
      </c>
      <c r="D12" s="23" t="n">
        <v>3200</v>
      </c>
      <c r="E12" s="22" t="inlineStr">
        <is>
          <t>—</t>
        </is>
      </c>
      <c r="F12" s="22" t="inlineStr">
        <is>
          <t>—</t>
        </is>
      </c>
      <c r="G12" s="22" t="inlineStr">
        <is>
          <t>Total $3.2M accrual covers all facilities. Grand Junction component = $2.2M. Remainder = minor obligations at other locations.</t>
        </is>
      </c>
    </row>
    <row r="13" ht="55" customHeight="1">
      <c r="A13" s="22" t="inlineStr">
        <is>
          <t>BFG ESTIMATED ADDITIONAL EXPOSURE (UNACCRUED)</t>
        </is>
      </c>
      <c r="B13" s="22" t="inlineStr">
        <is>
          <t>—</t>
        </is>
      </c>
      <c r="C13" s="22" t="inlineStr">
        <is>
          <t>—</t>
        </is>
      </c>
      <c r="D13" s="23" t="n">
        <v>0</v>
      </c>
      <c r="E13" s="22" t="inlineStr">
        <is>
          <t>2,400–12,000+</t>
        </is>
      </c>
      <c r="F13" s="22" t="inlineStr">
        <is>
          <t>—</t>
        </is>
      </c>
      <c r="G13" s="22" t="inlineStr">
        <is>
          <t>Preliminary BFG estimate of unaccrued environmental exposure, excluding asbestos long-tail (unquantifiable). Range reflects uncertainty in updated ESA findings.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E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8" customWidth="1" min="3" max="3"/>
    <col width="28" customWidth="1" min="4" max="4"/>
    <col width="55" customWidth="1" min="5" max="5"/>
  </cols>
  <sheetData>
    <row r="1" ht="30" customHeight="1">
      <c r="A1" s="19" t="inlineStr">
        <is>
          <t>PROJECT RIDGELINE — TRANSACTION COST &amp; CLOSING MECHANICS SUMMARY (RF-17, RF-18)</t>
        </is>
      </c>
    </row>
    <row r="2" ht="18" customHeight="1">
      <c r="A2" s="2" t="inlineStr">
        <is>
          <t>Source: Credit Agreement Summary; Employment Agreements Summary; LOI §4  |  All figures in $000s</t>
        </is>
      </c>
    </row>
    <row r="3" ht="8" customHeight="1"/>
    <row r="4" ht="24" customHeight="1">
      <c r="A4" s="11" t="inlineStr">
        <is>
          <t>Cost Item</t>
        </is>
      </c>
      <c r="B4" s="11" t="inlineStr">
        <is>
          <t>Amount ($K)</t>
        </is>
      </c>
      <c r="C4" s="11" t="inlineStr">
        <is>
          <t>Payer (Proposed)</t>
        </is>
      </c>
      <c r="D4" s="11" t="inlineStr">
        <is>
          <t>Timing</t>
        </is>
      </c>
      <c r="E4" s="11" t="inlineStr">
        <is>
          <t>Notes</t>
        </is>
      </c>
    </row>
    <row r="5" ht="40" customHeight="1">
      <c r="A5" s="26" t="inlineStr">
        <is>
          <t>CREDIT FACILITY REPAYMENT</t>
        </is>
      </c>
      <c r="B5" s="26" t="inlineStr"/>
      <c r="C5" s="26" t="inlineStr"/>
      <c r="D5" s="26" t="inlineStr"/>
      <c r="E5" s="26" t="inlineStr"/>
    </row>
    <row r="6" ht="40" customHeight="1">
      <c r="A6" s="14" t="inlineStr">
        <is>
          <t>Revolving Credit Facility — Outstanding Principal</t>
        </is>
      </c>
      <c r="B6" s="27" t="n">
        <v>12400</v>
      </c>
      <c r="C6" s="14" t="inlineStr">
        <is>
          <t>Buyer (via acquisition financing)</t>
        </is>
      </c>
      <c r="D6" s="14" t="inlineStr">
        <is>
          <t>At Closing (within 5 business days)</t>
        </is>
      </c>
      <c r="E6" s="14" t="inlineStr">
        <is>
          <t>No prepayment premium on revolver</t>
        </is>
      </c>
    </row>
    <row r="7" ht="40" customHeight="1">
      <c r="A7" s="17" t="inlineStr">
        <is>
          <t>Term Loan — Outstanding Principal</t>
        </is>
      </c>
      <c r="B7" s="28" t="n">
        <v>26300</v>
      </c>
      <c r="C7" s="17" t="inlineStr">
        <is>
          <t>Buyer (via acquisition financing)</t>
        </is>
      </c>
      <c r="D7" s="17" t="inlineStr">
        <is>
          <t>At Closing (within 5 business days)</t>
        </is>
      </c>
      <c r="E7" s="17" t="inlineStr">
        <is>
          <t>As of Sept 30, 2024; one amortization payment ($657.5K) due April 17, 2025 reduces balance to ~$25,642.5K</t>
        </is>
      </c>
    </row>
    <row r="8" ht="40" customHeight="1">
      <c r="A8" s="14" t="inlineStr">
        <is>
          <t>Term Loan Prepayment Premium (1.00%)</t>
        </is>
      </c>
      <c r="B8" s="27" t="n">
        <v>263</v>
      </c>
      <c r="C8" s="14" t="inlineStr">
        <is>
          <t>Buyer (via acquisition financing)</t>
        </is>
      </c>
      <c r="D8" s="14" t="inlineStr">
        <is>
          <t>At Closing</t>
        </is>
      </c>
      <c r="E8" s="14" t="inlineStr">
        <is>
          <t>Year 3 prepayment schedule (Jan 17, 2025 – Jan 16, 2026). Applies to mandatory CoC prepayment per §2.11(c)</t>
        </is>
      </c>
    </row>
    <row r="9" ht="40" customHeight="1">
      <c r="A9" s="17" t="inlineStr">
        <is>
          <t>Estimated Accrued Interest</t>
        </is>
      </c>
      <c r="B9" s="17" t="inlineStr">
        <is>
          <t>200–300</t>
        </is>
      </c>
      <c r="C9" s="17" t="inlineStr">
        <is>
          <t>Buyer (via acquisition financing)</t>
        </is>
      </c>
      <c r="D9" s="17" t="inlineStr">
        <is>
          <t>At Closing</t>
        </is>
      </c>
      <c r="E9" s="17" t="inlineStr">
        <is>
          <t>Estimated; actual amount per payoff letter from High Plains National Bank</t>
        </is>
      </c>
    </row>
    <row r="10" ht="40" customHeight="1">
      <c r="A10" s="14" t="inlineStr">
        <is>
          <t>SOFR Breakage Costs</t>
        </is>
      </c>
      <c r="B10" s="14" t="inlineStr">
        <is>
          <t>TBD</t>
        </is>
      </c>
      <c r="C10" s="14" t="inlineStr">
        <is>
          <t>Buyer (via acquisition financing)</t>
        </is>
      </c>
      <c r="D10" s="14" t="inlineStr">
        <is>
          <t>At Closing</t>
        </is>
      </c>
      <c r="E10" s="14" t="inlineStr">
        <is>
          <t>Typically modest; depends on SOFR loan interest period</t>
        </is>
      </c>
    </row>
    <row r="11" ht="40" customHeight="1">
      <c r="A11" s="22" t="inlineStr">
        <is>
          <t>Credit Facility Subtotal</t>
        </is>
      </c>
      <c r="B11" s="22" t="inlineStr">
        <is>
          <t>~39,163–39,263</t>
        </is>
      </c>
      <c r="C11" s="22" t="inlineStr">
        <is>
          <t>Buyer</t>
        </is>
      </c>
      <c r="D11" s="22" t="inlineStr">
        <is>
          <t>At Closing</t>
        </is>
      </c>
      <c r="E11" s="22" t="inlineStr"/>
    </row>
    <row r="12" ht="40" customHeight="1">
      <c r="A12" s="14" t="inlineStr"/>
      <c r="B12" s="14" t="inlineStr"/>
      <c r="C12" s="14" t="inlineStr"/>
      <c r="D12" s="14" t="inlineStr"/>
      <c r="E12" s="14" t="inlineStr"/>
    </row>
    <row r="13" ht="40" customHeight="1">
      <c r="A13" s="26" t="inlineStr">
        <is>
          <t>CHANGE-OF-CONTROL SEVERANCE</t>
        </is>
      </c>
      <c r="B13" s="26" t="inlineStr"/>
      <c r="C13" s="26" t="inlineStr"/>
      <c r="D13" s="26" t="inlineStr"/>
      <c r="E13" s="26" t="inlineStr"/>
    </row>
    <row r="14" ht="40" customHeight="1">
      <c r="A14" s="14" t="inlineStr">
        <is>
          <t>Derek Calloway (CEO) — Single Trigger</t>
        </is>
      </c>
      <c r="B14" s="27" t="n">
        <v>1312.5</v>
      </c>
      <c r="C14" s="14" t="inlineStr">
        <is>
          <t>UNRESOLVED — Seller or Buyer</t>
        </is>
      </c>
      <c r="D14" s="14" t="inlineStr">
        <is>
          <t>Within 30 days of Closing</t>
        </is>
      </c>
      <c r="E14" s="14" t="inlineStr">
        <is>
          <t>Single trigger — payable regardless of continued employment. Must be classified as Transaction Expense (seller-borne) in SPA.</t>
        </is>
      </c>
    </row>
    <row r="15" ht="40" customHeight="1">
      <c r="A15" s="17" t="inlineStr">
        <is>
          <t>Jason Calloway (COO) — Single Trigger</t>
        </is>
      </c>
      <c r="B15" s="28" t="n">
        <v>1312.5</v>
      </c>
      <c r="C15" s="17" t="inlineStr">
        <is>
          <t>UNRESOLVED — Seller or Buyer</t>
        </is>
      </c>
      <c r="D15" s="17" t="inlineStr">
        <is>
          <t>Within 30 days of Closing</t>
        </is>
      </c>
      <c r="E15" s="17" t="inlineStr">
        <is>
          <t>Same structure as CEO. Single trigger.</t>
        </is>
      </c>
    </row>
    <row r="16" ht="40" customHeight="1">
      <c r="A16" s="14" t="inlineStr">
        <is>
          <t>Patricia Engel (CFO) — Double Trigger</t>
        </is>
      </c>
      <c r="B16" s="27" t="n">
        <v>425</v>
      </c>
      <c r="C16" s="14" t="inlineStr">
        <is>
          <t>Buyer (if triggered)</t>
        </is>
      </c>
      <c r="D16" s="14" t="inlineStr">
        <is>
          <t>Within 30 days of qualifying termination</t>
        </is>
      </c>
      <c r="E16" s="14" t="inlineStr">
        <is>
          <t>Double trigger — requires CoC + termination without cause or material diminution within 12 months</t>
        </is>
      </c>
    </row>
    <row r="17" ht="40" customHeight="1">
      <c r="A17" s="17" t="inlineStr">
        <is>
          <t>Kurt Dillon (VP Ops) — Double Trigger</t>
        </is>
      </c>
      <c r="B17" s="28" t="n">
        <v>375</v>
      </c>
      <c r="C17" s="17" t="inlineStr">
        <is>
          <t>Buyer (if triggered)</t>
        </is>
      </c>
      <c r="D17" s="17" t="inlineStr">
        <is>
          <t>Within 30 days of qualifying termination</t>
        </is>
      </c>
      <c r="E17" s="17" t="inlineStr">
        <is>
          <t>Double trigger — same structure as CFO</t>
        </is>
      </c>
    </row>
    <row r="18" ht="40" customHeight="1">
      <c r="A18" s="14" t="inlineStr">
        <is>
          <t>Sandra Oakes (VP BD) — Double Trigger</t>
        </is>
      </c>
      <c r="B18" s="27" t="n">
        <v>350</v>
      </c>
      <c r="C18" s="14" t="inlineStr">
        <is>
          <t>Buyer (if triggered)</t>
        </is>
      </c>
      <c r="D18" s="14" t="inlineStr">
        <is>
          <t>Within 30 days of qualifying termination</t>
        </is>
      </c>
      <c r="E18" s="14" t="inlineStr">
        <is>
          <t>Double trigger — same structure as CFO</t>
        </is>
      </c>
    </row>
    <row r="19" ht="40" customHeight="1">
      <c r="A19" s="22" t="inlineStr">
        <is>
          <t>Single-Trigger Severance Subtotal</t>
        </is>
      </c>
      <c r="B19" s="29" t="n">
        <v>2625</v>
      </c>
      <c r="C19" s="22" t="inlineStr">
        <is>
          <t>UNRESOLVED</t>
        </is>
      </c>
      <c r="D19" s="22" t="inlineStr">
        <is>
          <t>At/After Closing</t>
        </is>
      </c>
      <c r="E19" s="22" t="inlineStr">
        <is>
          <t>Certain at closing regardless of employment outcome</t>
        </is>
      </c>
    </row>
    <row r="20" ht="40" customHeight="1">
      <c r="A20" s="22" t="inlineStr">
        <is>
          <t>Double-Trigger Severance Subtotal</t>
        </is>
      </c>
      <c r="B20" s="29" t="n">
        <v>1150</v>
      </c>
      <c r="C20" s="22" t="inlineStr">
        <is>
          <t>Buyer (contingent)</t>
        </is>
      </c>
      <c r="D20" s="22" t="inlineStr">
        <is>
          <t>Post-Closing (if triggered)</t>
        </is>
      </c>
      <c r="E20" s="22" t="inlineStr">
        <is>
          <t>Contingent on post-closing employment actions</t>
        </is>
      </c>
    </row>
    <row r="21" ht="40" customHeight="1">
      <c r="A21" s="17" t="inlineStr">
        <is>
          <t>Total Severance Exposure</t>
        </is>
      </c>
      <c r="B21" s="28" t="n">
        <v>3775</v>
      </c>
      <c r="C21" s="17" t="inlineStr">
        <is>
          <t>UNRESOLVED / Buyer</t>
        </is>
      </c>
      <c r="D21" s="17" t="inlineStr">
        <is>
          <t>At/After Closing</t>
        </is>
      </c>
      <c r="E21" s="17" t="inlineStr"/>
    </row>
    <row r="22" ht="40" customHeight="1">
      <c r="A22" s="14" t="inlineStr"/>
      <c r="B22" s="14" t="inlineStr"/>
      <c r="C22" s="14" t="inlineStr"/>
      <c r="D22" s="14" t="inlineStr"/>
      <c r="E22" s="14" t="inlineStr"/>
    </row>
    <row r="23" ht="40" customHeight="1">
      <c r="A23" s="26" t="inlineStr">
        <is>
          <t>OTHER TRANSACTION COSTS (ESTIMATED)</t>
        </is>
      </c>
      <c r="B23" s="26" t="inlineStr"/>
      <c r="C23" s="26" t="inlineStr"/>
      <c r="D23" s="26" t="inlineStr"/>
      <c r="E23" s="26" t="inlineStr"/>
    </row>
    <row r="24" ht="40" customHeight="1">
      <c r="A24" s="14" t="inlineStr">
        <is>
          <t>Seller Legal Fees (Greylock Merritt LLP)</t>
        </is>
      </c>
      <c r="B24" s="14" t="inlineStr">
        <is>
          <t>~500–750</t>
        </is>
      </c>
      <c r="C24" s="14" t="inlineStr">
        <is>
          <t>Seller (deducted from purchase price)</t>
        </is>
      </c>
      <c r="D24" s="14" t="inlineStr">
        <is>
          <t>At Closing</t>
        </is>
      </c>
      <c r="E24" s="14" t="inlineStr">
        <is>
          <t>Estimated; actual per closing statement</t>
        </is>
      </c>
    </row>
    <row r="25" ht="40" customHeight="1">
      <c r="A25" s="17" t="inlineStr">
        <is>
          <t>Seller Financial Advisory Fee (Greylock Merritt)</t>
        </is>
      </c>
      <c r="B25" s="17" t="inlineStr">
        <is>
          <t>~1,500–2,000</t>
        </is>
      </c>
      <c r="C25" s="17" t="inlineStr">
        <is>
          <t>Seller (deducted from purchase price)</t>
        </is>
      </c>
      <c r="D25" s="17" t="inlineStr">
        <is>
          <t>At Closing</t>
        </is>
      </c>
      <c r="E25" s="17" t="inlineStr">
        <is>
          <t>Estimated success fee; actual per engagement letter</t>
        </is>
      </c>
    </row>
    <row r="26" ht="40" customHeight="1">
      <c r="A26" s="14" t="inlineStr">
        <is>
          <t>Buyer Legal Fees (Thornfield &amp; Associates LLP)</t>
        </is>
      </c>
      <c r="B26" s="14" t="inlineStr">
        <is>
          <t>~400–600</t>
        </is>
      </c>
      <c r="C26" s="14" t="inlineStr">
        <is>
          <t>Buyer</t>
        </is>
      </c>
      <c r="D26" s="14" t="inlineStr">
        <is>
          <t>At Closing</t>
        </is>
      </c>
      <c r="E26" s="14" t="inlineStr">
        <is>
          <t>Estimated</t>
        </is>
      </c>
    </row>
    <row r="27" ht="40" customHeight="1">
      <c r="A27" s="17" t="inlineStr">
        <is>
          <t>Buyer QofE / Advisory Fees (BFG)</t>
        </is>
      </c>
      <c r="B27" s="17" t="inlineStr">
        <is>
          <t>~300–500</t>
        </is>
      </c>
      <c r="C27" s="17" t="inlineStr">
        <is>
          <t>Buyer</t>
        </is>
      </c>
      <c r="D27" s="17" t="inlineStr">
        <is>
          <t>At Closing</t>
        </is>
      </c>
      <c r="E27" s="17" t="inlineStr">
        <is>
          <t>Estimated</t>
        </is>
      </c>
    </row>
    <row r="28" ht="40" customHeight="1">
      <c r="A28" s="14" t="inlineStr">
        <is>
          <t>Environmental Consultant Fees (Updated ESA)</t>
        </is>
      </c>
      <c r="B28" s="14" t="inlineStr">
        <is>
          <t>~75–150</t>
        </is>
      </c>
      <c r="C28" s="14" t="inlineStr">
        <is>
          <t>Buyer</t>
        </is>
      </c>
      <c r="D28" s="14" t="inlineStr">
        <is>
          <t>Pre-Signing</t>
        </is>
      </c>
      <c r="E28" s="14" t="inlineStr">
        <is>
          <t>Estimated cost of updated Phase II ESA and vapor intrusion assessment</t>
        </is>
      </c>
    </row>
    <row r="29" ht="40" customHeight="1">
      <c r="A29" s="17" t="inlineStr"/>
      <c r="B29" s="17" t="inlineStr"/>
      <c r="C29" s="17" t="inlineStr"/>
      <c r="D29" s="17" t="inlineStr"/>
      <c r="E29" s="17" t="inlineStr"/>
    </row>
    <row r="30" ht="40" customHeight="1">
      <c r="A30" s="26" t="inlineStr">
        <is>
          <t>SUMMARY — TOTAL ESTIMATED TRANSACTION COSTS</t>
        </is>
      </c>
      <c r="B30" s="26" t="inlineStr"/>
      <c r="C30" s="26" t="inlineStr"/>
      <c r="D30" s="26" t="inlineStr"/>
      <c r="E30" s="26" t="inlineStr"/>
    </row>
    <row r="31" ht="40" customHeight="1">
      <c r="A31" s="17" t="inlineStr">
        <is>
          <t>Credit Facility Repayment (mandatory)</t>
        </is>
      </c>
      <c r="B31" s="17" t="inlineStr">
        <is>
          <t>~39,163–39,263</t>
        </is>
      </c>
      <c r="C31" s="17" t="inlineStr">
        <is>
          <t>Buyer</t>
        </is>
      </c>
      <c r="D31" s="17" t="inlineStr">
        <is>
          <t>At Closing</t>
        </is>
      </c>
      <c r="E31" s="17" t="inlineStr"/>
    </row>
    <row r="32" ht="40" customHeight="1">
      <c r="A32" s="14" t="inlineStr">
        <is>
          <t>Single-Trigger Severance (certain)</t>
        </is>
      </c>
      <c r="B32" s="27" t="n">
        <v>2625</v>
      </c>
      <c r="C32" s="14" t="inlineStr">
        <is>
          <t>UNRESOLVED</t>
        </is>
      </c>
      <c r="D32" s="14" t="inlineStr">
        <is>
          <t>At/After Closing</t>
        </is>
      </c>
      <c r="E32" s="14" t="inlineStr"/>
    </row>
    <row r="33" ht="40" customHeight="1">
      <c r="A33" s="17" t="inlineStr">
        <is>
          <t>Double-Trigger Severance (contingent)</t>
        </is>
      </c>
      <c r="B33" s="28" t="n">
        <v>1150</v>
      </c>
      <c r="C33" s="17" t="inlineStr">
        <is>
          <t>Buyer (contingent)</t>
        </is>
      </c>
      <c r="D33" s="17" t="inlineStr">
        <is>
          <t>Post-Closing</t>
        </is>
      </c>
      <c r="E33" s="17" t="inlineStr"/>
    </row>
    <row r="34" ht="40" customHeight="1">
      <c r="A34" s="14" t="inlineStr">
        <is>
          <t>Seller Transaction Expenses (est.)</t>
        </is>
      </c>
      <c r="B34" s="14" t="inlineStr">
        <is>
          <t>~2,000–2,750</t>
        </is>
      </c>
      <c r="C34" s="14" t="inlineStr">
        <is>
          <t>Seller</t>
        </is>
      </c>
      <c r="D34" s="14" t="inlineStr">
        <is>
          <t>At Closing</t>
        </is>
      </c>
      <c r="E34" s="14" t="inlineStr"/>
    </row>
    <row r="35" ht="40" customHeight="1">
      <c r="A35" s="17" t="inlineStr">
        <is>
          <t>Buyer Transaction Expenses (est.)</t>
        </is>
      </c>
      <c r="B35" s="17" t="inlineStr">
        <is>
          <t>~775–1,250</t>
        </is>
      </c>
      <c r="C35" s="17" t="inlineStr">
        <is>
          <t>Buyer</t>
        </is>
      </c>
      <c r="D35" s="17" t="inlineStr">
        <is>
          <t>At Closing</t>
        </is>
      </c>
      <c r="E35" s="17" t="inlineStr"/>
    </row>
    <row r="36" ht="40" customHeight="1">
      <c r="A36" s="22" t="inlineStr">
        <is>
          <t>TOTAL ESTIMATED CLOSING COSTS (excl. purchase price)</t>
        </is>
      </c>
      <c r="B36" s="22" t="inlineStr">
        <is>
          <t>~45,713–47,038</t>
        </is>
      </c>
      <c r="C36" s="22" t="inlineStr">
        <is>
          <t>—</t>
        </is>
      </c>
      <c r="D36" s="22" t="inlineStr">
        <is>
          <t>—</t>
        </is>
      </c>
      <c r="E36" s="22" t="inlineStr">
        <is>
          <t>Excludes purchase price; includes credit facility repayment, certain severance, and transaction expenses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H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60" customWidth="1" min="4" max="4"/>
    <col width="24" customWidth="1" min="5" max="5"/>
    <col width="16" customWidth="1" min="6" max="6"/>
    <col width="12" customWidth="1" min="7" max="7"/>
    <col width="40" customWidth="1" min="8" max="8"/>
  </cols>
  <sheetData>
    <row r="1" ht="30" customHeight="1">
      <c r="A1" s="19" t="inlineStr">
        <is>
          <t>PROJECT RIDGELINE — ACTION ITEMS TRACKER</t>
        </is>
      </c>
    </row>
    <row r="2" ht="18" customHeight="1">
      <c r="A2" s="2" t="inlineStr">
        <is>
          <t>Bridgewater Forsyth Group  |  Sycamore Capital Partners, LP  |  December 2024</t>
        </is>
      </c>
    </row>
    <row r="3" ht="8" customHeight="1"/>
    <row r="4" ht="24" customHeight="1">
      <c r="A4" s="11" t="inlineStr">
        <is>
          <t>#</t>
        </is>
      </c>
      <c r="B4" s="11" t="inlineStr">
        <is>
          <t>RF Ref.</t>
        </is>
      </c>
      <c r="C4" s="11" t="inlineStr">
        <is>
          <t>Phase</t>
        </is>
      </c>
      <c r="D4" s="11" t="inlineStr">
        <is>
          <t>Action Item</t>
        </is>
      </c>
      <c r="E4" s="11" t="inlineStr">
        <is>
          <t>Responsible Party</t>
        </is>
      </c>
      <c r="F4" s="11" t="inlineStr">
        <is>
          <t>Due Date</t>
        </is>
      </c>
      <c r="G4" s="11" t="inlineStr">
        <is>
          <t>Status</t>
        </is>
      </c>
      <c r="H4" s="11" t="inlineStr">
        <is>
          <t>Notes</t>
        </is>
      </c>
    </row>
    <row r="5" ht="55" customHeight="1">
      <c r="A5" s="17" t="n">
        <v>1</v>
      </c>
      <c r="B5" s="17" t="inlineStr">
        <is>
          <t>RF-01</t>
        </is>
      </c>
      <c r="C5" s="30" t="inlineStr">
        <is>
          <t>Pre-Signing</t>
        </is>
      </c>
      <c r="D5" s="17" t="inlineStr">
        <is>
          <t>Demand fully reconciled EBITDA bridge (signed by CFO) resolving $1.0M discrepancy between CIM ($22.8M) and QofE bridge ($23.8M)</t>
        </is>
      </c>
      <c r="E5" s="17" t="inlineStr">
        <is>
          <t>BFG / Seller CFO</t>
        </is>
      </c>
      <c r="F5" s="17" t="inlineStr">
        <is>
          <t>Before SPA Signing</t>
        </is>
      </c>
      <c r="G5" s="17" t="inlineStr">
        <is>
          <t>Open</t>
        </is>
      </c>
      <c r="H5" s="17" t="inlineStr"/>
    </row>
    <row r="6" ht="55" customHeight="1">
      <c r="A6" s="14" t="n">
        <v>2</v>
      </c>
      <c r="B6" s="14" t="inlineStr">
        <is>
          <t>RF-02</t>
        </is>
      </c>
      <c r="C6" s="30" t="inlineStr">
        <is>
          <t>Pre-Signing</t>
        </is>
      </c>
      <c r="D6" s="14" t="inlineStr">
        <is>
          <t>Independently validate all five EBITDA add-backs; restate owner compensation normalization using total compensation (base + 50% bonus target)</t>
        </is>
      </c>
      <c r="E6" s="14" t="inlineStr">
        <is>
          <t>BFG</t>
        </is>
      </c>
      <c r="F6" s="14" t="inlineStr">
        <is>
          <t>Before SPA Signing</t>
        </is>
      </c>
      <c r="G6" s="14" t="inlineStr">
        <is>
          <t>Open</t>
        </is>
      </c>
      <c r="H6" s="14" t="inlineStr"/>
    </row>
    <row r="7" ht="55" customHeight="1">
      <c r="A7" s="17" t="n">
        <v>3</v>
      </c>
      <c r="B7" s="17" t="inlineStr">
        <is>
          <t>RF-03</t>
        </is>
      </c>
      <c r="C7" s="30" t="inlineStr">
        <is>
          <t>Pre-Signing</t>
        </is>
      </c>
      <c r="D7" s="17" t="inlineStr">
        <is>
          <t>Model acquisition financing and post-closing covenant compliance using bank-definition EBITDA ($18.4M) under base and downside scenarios</t>
        </is>
      </c>
      <c r="E7" s="17" t="inlineStr">
        <is>
          <t>BFG / Finance</t>
        </is>
      </c>
      <c r="F7" s="17" t="inlineStr">
        <is>
          <t>Before SPA Signing</t>
        </is>
      </c>
      <c r="G7" s="17" t="inlineStr">
        <is>
          <t>Open</t>
        </is>
      </c>
      <c r="H7" s="17" t="inlineStr"/>
    </row>
    <row r="8" ht="55" customHeight="1">
      <c r="A8" s="14" t="n">
        <v>4</v>
      </c>
      <c r="B8" s="14" t="inlineStr">
        <is>
          <t>RF-04</t>
        </is>
      </c>
      <c r="C8" s="30" t="inlineStr">
        <is>
          <t>Pre-Signing</t>
        </is>
      </c>
      <c r="D8" s="14" t="inlineStr">
        <is>
          <t>Obtain detailed FY2023→FY2024 reported EBITDA bridge; confirm no recurring costs embedded in non-recurring categories</t>
        </is>
      </c>
      <c r="E8" s="14" t="inlineStr">
        <is>
          <t>BFG / Seller CFO</t>
        </is>
      </c>
      <c r="F8" s="14" t="inlineStr">
        <is>
          <t>Before SPA Signing</t>
        </is>
      </c>
      <c r="G8" s="14" t="inlineStr">
        <is>
          <t>Open</t>
        </is>
      </c>
      <c r="H8" s="14" t="inlineStr"/>
    </row>
    <row r="9" ht="55" customHeight="1">
      <c r="A9" s="17" t="n">
        <v>5</v>
      </c>
      <c r="B9" s="17" t="inlineStr">
        <is>
          <t>RF-05</t>
        </is>
      </c>
      <c r="C9" s="30" t="inlineStr">
        <is>
          <t>Pre-Signing</t>
        </is>
      </c>
      <c r="D9" s="17" t="inlineStr">
        <is>
          <t>Obtain written confirmation from management of status of DOE ceiling modification request or follow-on contract discussions; model acquisition at ceiling-constrained DOE revenue ($12.3M)</t>
        </is>
      </c>
      <c r="E9" s="17" t="inlineStr">
        <is>
          <t>BFG / Management</t>
        </is>
      </c>
      <c r="F9" s="17" t="inlineStr">
        <is>
          <t>Before SPA Signing</t>
        </is>
      </c>
      <c r="G9" s="17" t="inlineStr">
        <is>
          <t>Open</t>
        </is>
      </c>
      <c r="H9" s="17" t="inlineStr"/>
    </row>
    <row r="10" ht="55" customHeight="1">
      <c r="A10" s="14" t="n">
        <v>6</v>
      </c>
      <c r="B10" s="14" t="inlineStr">
        <is>
          <t>RF-06</t>
        </is>
      </c>
      <c r="C10" s="30" t="inlineStr">
        <is>
          <t>Pre-Signing</t>
        </is>
      </c>
      <c r="D10" s="14" t="inlineStr">
        <is>
          <t>Engage DOE Contracting Officer to initiate novation process; obtain written confirmation of novation requirements or waiver</t>
        </is>
      </c>
      <c r="E10" s="14" t="inlineStr">
        <is>
          <t>Legal (Thornfield)</t>
        </is>
      </c>
      <c r="F10" s="14" t="inlineStr">
        <is>
          <t>Before SPA Signing</t>
        </is>
      </c>
      <c r="G10" s="14" t="inlineStr">
        <is>
          <t>Open</t>
        </is>
      </c>
      <c r="H10" s="14" t="inlineStr">
        <is>
          <t>Make novation agreement a closing condition</t>
        </is>
      </c>
    </row>
    <row r="11" ht="55" customHeight="1">
      <c r="A11" s="17" t="n">
        <v>7</v>
      </c>
      <c r="B11" s="17" t="inlineStr">
        <is>
          <t>RF-07</t>
        </is>
      </c>
      <c r="C11" s="30" t="inlineStr">
        <is>
          <t>Pre-Signing</t>
        </is>
      </c>
      <c r="D11" s="17" t="inlineStr">
        <is>
          <t>Obtain written retention confirmations from CMMC and Intermountain Health Systems; confirm Intermountain renewal option exercise status</t>
        </is>
      </c>
      <c r="E11" s="17" t="inlineStr">
        <is>
          <t>Management / BD</t>
        </is>
      </c>
      <c r="F11" s="17" t="inlineStr">
        <is>
          <t>Before SPA Signing</t>
        </is>
      </c>
      <c r="G11" s="17" t="inlineStr">
        <is>
          <t>Open</t>
        </is>
      </c>
      <c r="H11" s="17" t="inlineStr">
        <is>
          <t>Intermountain renewal decision expected February 2025</t>
        </is>
      </c>
    </row>
    <row r="12" ht="55" customHeight="1">
      <c r="A12" s="14" t="n">
        <v>8</v>
      </c>
      <c r="B12" s="14" t="inlineStr">
        <is>
          <t>RF-08</t>
        </is>
      </c>
      <c r="C12" s="30" t="inlineStr">
        <is>
          <t>Pre-Signing</t>
        </is>
      </c>
      <c r="D12" s="14" t="inlineStr">
        <is>
          <t>Initiate landlord consent process with Wasatch Industrial Properties for SLC lease (dual consent: Pinnacle-to-RES + Sycamore acquisition)</t>
        </is>
      </c>
      <c r="E12" s="14" t="inlineStr">
        <is>
          <t>Legal (Thornfield)</t>
        </is>
      </c>
      <c r="F12" s="14" t="inlineStr">
        <is>
          <t>Before SPA Signing</t>
        </is>
      </c>
      <c r="G12" s="14" t="inlineStr">
        <is>
          <t>Open</t>
        </is>
      </c>
      <c r="H12" s="14" t="inlineStr">
        <is>
          <t>Priority item — do not close without resolution</t>
        </is>
      </c>
    </row>
    <row r="13" ht="55" customHeight="1">
      <c r="A13" s="17" t="n">
        <v>9</v>
      </c>
      <c r="B13" s="17" t="inlineStr">
        <is>
          <t>RF-08</t>
        </is>
      </c>
      <c r="C13" s="30" t="inlineStr">
        <is>
          <t>Pre-Signing</t>
        </is>
      </c>
      <c r="D13" s="17" t="inlineStr">
        <is>
          <t>Confirm Utah DEQ permit transfer (UTH-0441) status and timeline with Utah Division of Waste Management</t>
        </is>
      </c>
      <c r="E13" s="17" t="inlineStr">
        <is>
          <t>Environmental Counsel</t>
        </is>
      </c>
      <c r="F13" s="17" t="inlineStr">
        <is>
          <t>Before SPA Signing</t>
        </is>
      </c>
      <c r="G13" s="17" t="inlineStr">
        <is>
          <t>Open</t>
        </is>
      </c>
      <c r="H13" s="17" t="inlineStr"/>
    </row>
    <row r="14" ht="55" customHeight="1">
      <c r="A14" s="14" t="n">
        <v>10</v>
      </c>
      <c r="B14" s="14" t="inlineStr">
        <is>
          <t>RF-09</t>
        </is>
      </c>
      <c r="C14" s="30" t="inlineStr">
        <is>
          <t>Pre-Signing</t>
        </is>
      </c>
      <c r="D14" s="14" t="inlineStr">
        <is>
          <t>Commission updated Phase II ESA and vapor intrusion assessment at Grand Junction headquarters (8750 Industrial Parkway)</t>
        </is>
      </c>
      <c r="E14" s="14" t="inlineStr">
        <is>
          <t>Environmental Counsel</t>
        </is>
      </c>
      <c r="F14" s="14" t="inlineStr">
        <is>
          <t>Before SPA Signing</t>
        </is>
      </c>
      <c r="G14" s="14" t="inlineStr">
        <is>
          <t>Open</t>
        </is>
      </c>
      <c r="H14" s="14" t="inlineStr">
        <is>
          <t>Results required before signing; ESA is 5+ years stale</t>
        </is>
      </c>
    </row>
    <row r="15" ht="55" customHeight="1">
      <c r="A15" s="17" t="n">
        <v>11</v>
      </c>
      <c r="B15" s="17" t="inlineStr">
        <is>
          <t>RF-22</t>
        </is>
      </c>
      <c r="C15" s="30" t="inlineStr">
        <is>
          <t>Pre-Signing</t>
        </is>
      </c>
      <c r="D15" s="17" t="inlineStr">
        <is>
          <t>Obtain full disclosure of NLRB petition (Teamsters Local 455, filed Nov 4, 2024); obtain Company's response strategy and legal assessment</t>
        </is>
      </c>
      <c r="E15" s="17" t="inlineStr">
        <is>
          <t>Legal (Thornfield)</t>
        </is>
      </c>
      <c r="F15" s="17" t="inlineStr">
        <is>
          <t>Before SPA Signing</t>
        </is>
      </c>
      <c r="G15" s="17" t="inlineStr">
        <is>
          <t>Open</t>
        </is>
      </c>
      <c r="H15" s="17" t="inlineStr">
        <is>
          <t>Assess MAC implications</t>
        </is>
      </c>
    </row>
    <row r="16" ht="55" customHeight="1">
      <c r="A16" s="14" t="n">
        <v>12</v>
      </c>
      <c r="B16" s="14" t="inlineStr">
        <is>
          <t>RF-20</t>
        </is>
      </c>
      <c r="C16" s="30" t="inlineStr">
        <is>
          <t>Pre-Signing</t>
        </is>
      </c>
      <c r="D16" s="14" t="inlineStr">
        <is>
          <t>Confirm reason for auditor change from Plante Moran PLLC to Hansen &amp; Whitfield CPAs; engage PCAOB-registered auditor for FY2024 audit</t>
        </is>
      </c>
      <c r="E16" s="14" t="inlineStr">
        <is>
          <t>Finance / Legal</t>
        </is>
      </c>
      <c r="F16" s="14" t="inlineStr">
        <is>
          <t>Before SPA Signing</t>
        </is>
      </c>
      <c r="G16" s="14" t="inlineStr">
        <is>
          <t>Open</t>
        </is>
      </c>
      <c r="H16" s="14" t="inlineStr"/>
    </row>
    <row r="17" ht="55" customHeight="1">
      <c r="A17" s="17" t="n">
        <v>13</v>
      </c>
      <c r="B17" s="17" t="inlineStr">
        <is>
          <t>RF-21</t>
        </is>
      </c>
      <c r="C17" s="30" t="inlineStr">
        <is>
          <t>Pre-Signing</t>
        </is>
      </c>
      <c r="D17" s="17" t="inlineStr">
        <is>
          <t>Obtain independent fleet condition assessment; recast normalized maintenance capex to include $9.8M deferred replacement backlog</t>
        </is>
      </c>
      <c r="E17" s="17" t="inlineStr">
        <is>
          <t>Operations / BFG</t>
        </is>
      </c>
      <c r="F17" s="17" t="inlineStr">
        <is>
          <t>Before SPA Signing</t>
        </is>
      </c>
      <c r="G17" s="17" t="inlineStr">
        <is>
          <t>Open</t>
        </is>
      </c>
      <c r="H17" s="17" t="inlineStr"/>
    </row>
    <row r="18" ht="55" customHeight="1">
      <c r="A18" s="14" t="n">
        <v>14</v>
      </c>
      <c r="B18" s="14" t="inlineStr">
        <is>
          <t>RF-17</t>
        </is>
      </c>
      <c r="C18" s="31" t="inlineStr">
        <is>
          <t>Pre-Closing</t>
        </is>
      </c>
      <c r="D18" s="14" t="inlineStr">
        <is>
          <t>Arrange refinancing of $38.7M credit facility; obtain payoff letter from High Plains National Bank; include prepayment premium ($263K) and accrued interest in Net Debt</t>
        </is>
      </c>
      <c r="E18" s="14" t="inlineStr">
        <is>
          <t>Finance / Legal</t>
        </is>
      </c>
      <c r="F18" s="14" t="inlineStr">
        <is>
          <t>Before Closing</t>
        </is>
      </c>
      <c r="G18" s="14" t="inlineStr">
        <is>
          <t>Open</t>
        </is>
      </c>
      <c r="H18" s="14" t="inlineStr"/>
    </row>
    <row r="19" ht="55" customHeight="1">
      <c r="A19" s="17" t="n">
        <v>15</v>
      </c>
      <c r="B19" s="17" t="inlineStr">
        <is>
          <t>RF-11</t>
        </is>
      </c>
      <c r="C19" s="31" t="inlineStr">
        <is>
          <t>Pre-Closing</t>
        </is>
      </c>
      <c r="D19" s="17" t="inlineStr">
        <is>
          <t>Obtain Wyoming DEQ renewed permit (WY-HW-2019-033) or written confirmation of continued timely renewal status; notify lender per credit agreement affirmative covenants</t>
        </is>
      </c>
      <c r="E19" s="17" t="inlineStr">
        <is>
          <t>Environmental Counsel / Legal</t>
        </is>
      </c>
      <c r="F19" s="17" t="inlineStr">
        <is>
          <t>Before Closing</t>
        </is>
      </c>
      <c r="G19" s="17" t="inlineStr">
        <is>
          <t>Open</t>
        </is>
      </c>
      <c r="H19" s="17" t="inlineStr"/>
    </row>
    <row r="20" ht="55" customHeight="1">
      <c r="A20" s="14" t="n">
        <v>16</v>
      </c>
      <c r="B20" s="14" t="inlineStr">
        <is>
          <t>RF-10</t>
        </is>
      </c>
      <c r="C20" s="31" t="inlineStr">
        <is>
          <t>Pre-Closing</t>
        </is>
      </c>
      <c r="D20" s="14" t="inlineStr">
        <is>
          <t>Resolve CDPHE enforcement action (CDPHE-HW-2024-0093) or establish specific escrow; require $200K minimum accrual before closing</t>
        </is>
      </c>
      <c r="E20" s="14" t="inlineStr">
        <is>
          <t>Legal / Management</t>
        </is>
      </c>
      <c r="F20" s="14" t="inlineStr">
        <is>
          <t>Before Closing</t>
        </is>
      </c>
      <c r="G20" s="14" t="inlineStr">
        <is>
          <t>Open</t>
        </is>
      </c>
      <c r="H20" s="14" t="inlineStr"/>
    </row>
    <row r="21" ht="55" customHeight="1">
      <c r="A21" s="17" t="n">
        <v>17</v>
      </c>
      <c r="B21" s="17" t="inlineStr">
        <is>
          <t>RF-19</t>
        </is>
      </c>
      <c r="C21" s="31" t="inlineStr">
        <is>
          <t>Pre-Closing</t>
        </is>
      </c>
      <c r="D21" s="17" t="inlineStr">
        <is>
          <t>Obtain landlord consents for all 7 facilities with consent requirements; analyze whether stock acquisition triggers consent under each lease's specific language</t>
        </is>
      </c>
      <c r="E21" s="17" t="inlineStr">
        <is>
          <t>Legal (Thornfield)</t>
        </is>
      </c>
      <c r="F21" s="17" t="inlineStr">
        <is>
          <t>Before Closing</t>
        </is>
      </c>
      <c r="G21" s="17" t="inlineStr">
        <is>
          <t>Open</t>
        </is>
      </c>
      <c r="H21" s="17" t="inlineStr"/>
    </row>
    <row r="22" ht="55" customHeight="1">
      <c r="A22" s="14" t="n">
        <v>18</v>
      </c>
      <c r="B22" s="14" t="inlineStr">
        <is>
          <t>RF-20</t>
        </is>
      </c>
      <c r="C22" s="31" t="inlineStr">
        <is>
          <t>Pre-Closing</t>
        </is>
      </c>
      <c r="D22" s="14" t="inlineStr">
        <is>
          <t>Deliver FY2022, FY2023, and FY2024 audited financial statements (PCAOB-registered auditor) as required by LOI §8(i)</t>
        </is>
      </c>
      <c r="E22" s="14" t="inlineStr">
        <is>
          <t>Seller / Finance</t>
        </is>
      </c>
      <c r="F22" s="14" t="inlineStr">
        <is>
          <t>Before Closing</t>
        </is>
      </c>
      <c r="G22" s="14" t="inlineStr">
        <is>
          <t>Open</t>
        </is>
      </c>
      <c r="H22" s="14" t="inlineStr"/>
    </row>
    <row r="23" ht="55" customHeight="1">
      <c r="A23" s="17" t="n">
        <v>19</v>
      </c>
      <c r="B23" s="17" t="inlineStr">
        <is>
          <t>RF-12</t>
        </is>
      </c>
      <c r="C23" s="31" t="inlineStr">
        <is>
          <t>Pre-Closing</t>
        </is>
      </c>
      <c r="D23" s="17" t="inlineStr">
        <is>
          <t>Procure asbestos completed operations tail policy covering 2012–2014 operations, or negotiate dedicated escrow with 10-year survival period</t>
        </is>
      </c>
      <c r="E23" s="17" t="inlineStr">
        <is>
          <t>Legal / Insurance</t>
        </is>
      </c>
      <c r="F23" s="17" t="inlineStr">
        <is>
          <t>Before Closing</t>
        </is>
      </c>
      <c r="G23" s="17" t="inlineStr">
        <is>
          <t>Open</t>
        </is>
      </c>
      <c r="H23" s="17" t="inlineStr"/>
    </row>
    <row r="24" ht="55" customHeight="1">
      <c r="A24" s="14" t="n">
        <v>20</v>
      </c>
      <c r="B24" s="14" t="inlineStr">
        <is>
          <t>RF-14</t>
        </is>
      </c>
      <c r="C24" s="31" t="inlineStr">
        <is>
          <t>Pre-Closing</t>
        </is>
      </c>
      <c r="D24" s="14" t="inlineStr">
        <is>
          <t>Obtain reservation of rights letter and all insurer correspondence re: Ramirez v. RES; obtain legal assessment of coverage prospects</t>
        </is>
      </c>
      <c r="E24" s="14" t="inlineStr">
        <is>
          <t>Legal</t>
        </is>
      </c>
      <c r="F24" s="14" t="inlineStr">
        <is>
          <t>Before Closing</t>
        </is>
      </c>
      <c r="G24" s="14" t="inlineStr">
        <is>
          <t>Open</t>
        </is>
      </c>
      <c r="H24" s="14" t="inlineStr"/>
    </row>
    <row r="25" ht="55" customHeight="1">
      <c r="A25" s="17" t="n">
        <v>21</v>
      </c>
      <c r="B25" s="17" t="inlineStr">
        <is>
          <t>RF-15</t>
        </is>
      </c>
      <c r="C25" s="31" t="inlineStr">
        <is>
          <t>Pre-Closing</t>
        </is>
      </c>
      <c r="D25" s="17" t="inlineStr">
        <is>
          <t>Obtain FLSA demand letter and employment counsel analysis; require accrual of estimated exposure ($100K–$330K) before closing</t>
        </is>
      </c>
      <c r="E25" s="17" t="inlineStr">
        <is>
          <t>Legal / HR</t>
        </is>
      </c>
      <c r="F25" s="17" t="inlineStr">
        <is>
          <t>Before Closing</t>
        </is>
      </c>
      <c r="G25" s="17" t="inlineStr">
        <is>
          <t>Open</t>
        </is>
      </c>
      <c r="H25" s="17" t="inlineStr"/>
    </row>
    <row r="26" ht="55" customHeight="1">
      <c r="A26" s="14" t="n">
        <v>22</v>
      </c>
      <c r="B26" s="14" t="inlineStr">
        <is>
          <t>RF-18</t>
        </is>
      </c>
      <c r="C26" s="32" t="inlineStr">
        <is>
          <t>SPA Drafting</t>
        </is>
      </c>
      <c r="D26" s="14" t="inlineStr">
        <is>
          <t>Classify single-trigger severance ($2,625K) as Transaction Expenses (seller-borne) in SPA; negotiate post-closing employment arrangements for founders</t>
        </is>
      </c>
      <c r="E26" s="14" t="inlineStr">
        <is>
          <t>Legal (Thornfield)</t>
        </is>
      </c>
      <c r="F26" s="14" t="inlineStr">
        <is>
          <t>SPA Negotiation</t>
        </is>
      </c>
      <c r="G26" s="14" t="inlineStr">
        <is>
          <t>Open</t>
        </is>
      </c>
      <c r="H26" s="14" t="inlineStr"/>
    </row>
    <row r="27" ht="55" customHeight="1">
      <c r="A27" s="17" t="n">
        <v>23</v>
      </c>
      <c r="B27" s="17" t="inlineStr">
        <is>
          <t>RF-05</t>
        </is>
      </c>
      <c r="C27" s="32" t="inlineStr">
        <is>
          <t>SPA Drafting</t>
        </is>
      </c>
      <c r="D27" s="17" t="inlineStr">
        <is>
          <t>Include DOE revenue earnout or purchase price adjustment mechanism tied to DOE ceiling modification or follow-on contract award</t>
        </is>
      </c>
      <c r="E27" s="17" t="inlineStr">
        <is>
          <t>Legal / BFG</t>
        </is>
      </c>
      <c r="F27" s="17" t="inlineStr">
        <is>
          <t>SPA Negotiation</t>
        </is>
      </c>
      <c r="G27" s="17" t="inlineStr">
        <is>
          <t>Open</t>
        </is>
      </c>
      <c r="H27" s="17" t="inlineStr"/>
    </row>
    <row r="28" ht="55" customHeight="1">
      <c r="A28" s="14" t="n">
        <v>24</v>
      </c>
      <c r="B28" s="14" t="inlineStr">
        <is>
          <t>RF-09/10/12</t>
        </is>
      </c>
      <c r="C28" s="32" t="inlineStr">
        <is>
          <t>SPA Drafting</t>
        </is>
      </c>
      <c r="D28" s="14" t="inlineStr">
        <is>
          <t>Negotiate separate environmental escrow funded at updated remediation cost estimate; extend environmental and asbestos indemnification survival to 10 years minimum</t>
        </is>
      </c>
      <c r="E28" s="14" t="inlineStr">
        <is>
          <t>Legal (Thornfield)</t>
        </is>
      </c>
      <c r="F28" s="14" t="inlineStr">
        <is>
          <t>SPA Negotiation</t>
        </is>
      </c>
      <c r="G28" s="14" t="inlineStr">
        <is>
          <t>Open</t>
        </is>
      </c>
      <c r="H28" s="14" t="inlineStr"/>
    </row>
    <row r="29" ht="55" customHeight="1">
      <c r="A29" s="17" t="n">
        <v>25</v>
      </c>
      <c r="B29" s="17" t="inlineStr">
        <is>
          <t>RF-22</t>
        </is>
      </c>
      <c r="C29" s="32" t="inlineStr">
        <is>
          <t>SPA Drafting</t>
        </is>
      </c>
      <c r="D29" s="17" t="inlineStr">
        <is>
          <t>Define MAC to include NLRB election outcome and DOE ceiling exhaustion; include NLRB matter in specific indemnification provisions</t>
        </is>
      </c>
      <c r="E29" s="17" t="inlineStr">
        <is>
          <t>Legal (Thornfield)</t>
        </is>
      </c>
      <c r="F29" s="17" t="inlineStr">
        <is>
          <t>SPA Negotiation</t>
        </is>
      </c>
      <c r="G29" s="17" t="inlineStr">
        <is>
          <t>Open</t>
        </is>
      </c>
      <c r="H29" s="17" t="inlineStr"/>
    </row>
    <row r="30" ht="55" customHeight="1">
      <c r="A30" s="14" t="n">
        <v>26</v>
      </c>
      <c r="B30" s="14" t="inlineStr">
        <is>
          <t>RF-14/15</t>
        </is>
      </c>
      <c r="C30" s="32" t="inlineStr">
        <is>
          <t>SPA Drafting</t>
        </is>
      </c>
      <c r="D30" s="14" t="inlineStr">
        <is>
          <t>Include specific indemnification provisions for Ramirez litigation, FLSA wage claim, and CDPHE enforcement action with survival through final resolution</t>
        </is>
      </c>
      <c r="E30" s="14" t="inlineStr">
        <is>
          <t>Legal (Thornfield)</t>
        </is>
      </c>
      <c r="F30" s="14" t="inlineStr">
        <is>
          <t>SPA Negotiation</t>
        </is>
      </c>
      <c r="G30" s="14" t="inlineStr">
        <is>
          <t>Open</t>
        </is>
      </c>
      <c r="H30" s="14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22" customWidth="1" min="4" max="4"/>
    <col width="16" customWidth="1" min="5" max="5"/>
    <col width="16" customWidth="1" min="6" max="6"/>
    <col width="14" customWidth="1" min="7" max="7"/>
    <col width="38" customWidth="1" min="8" max="8"/>
  </cols>
  <sheetData>
    <row r="1" ht="30" customHeight="1">
      <c r="A1" s="19" t="inlineStr">
        <is>
          <t>PROJECT RIDGELINE — CONTINGENT LIABILITY REGISTER</t>
        </is>
      </c>
    </row>
    <row r="2" ht="18" customHeight="1">
      <c r="A2" s="2" t="inlineStr">
        <is>
          <t>Source: Litigation Summary; Insurance Program Summary; Employment Agreements Summary  |  All figures in $000s  |  Probability per ASC 450 framework</t>
        </is>
      </c>
    </row>
    <row r="3" ht="8" customHeight="1"/>
    <row r="4" ht="24" customHeight="1">
      <c r="A4" s="11" t="inlineStr">
        <is>
          <t>Matter</t>
        </is>
      </c>
      <c r="B4" s="11" t="inlineStr">
        <is>
          <t>RF</t>
        </is>
      </c>
      <c r="C4" s="11" t="inlineStr">
        <is>
          <t>Type</t>
        </is>
      </c>
      <c r="D4" s="11" t="inlineStr">
        <is>
          <t>Probability (ASC 450)</t>
        </is>
      </c>
      <c r="E4" s="11" t="inlineStr">
        <is>
          <t>Low Exposure ($K)</t>
        </is>
      </c>
      <c r="F4" s="11" t="inlineStr">
        <is>
          <t>High Exposure ($K)</t>
        </is>
      </c>
      <c r="G4" s="11" t="inlineStr">
        <is>
          <t>Accrual ($K)</t>
        </is>
      </c>
      <c r="H4" s="11" t="inlineStr">
        <is>
          <t>Insurance Coverage</t>
        </is>
      </c>
    </row>
    <row r="5" ht="40" customHeight="1">
      <c r="A5" s="17" t="inlineStr">
        <is>
          <t>Grand Junction Soil/GW Remediation</t>
        </is>
      </c>
      <c r="B5" s="17" t="inlineStr">
        <is>
          <t>RF-09/13</t>
        </is>
      </c>
      <c r="C5" s="17" t="inlineStr">
        <is>
          <t>Environmental</t>
        </is>
      </c>
      <c r="D5" s="17" t="inlineStr">
        <is>
          <t>Probable</t>
        </is>
      </c>
      <c r="E5" s="20" t="n">
        <v>1800</v>
      </c>
      <c r="F5" s="20" t="n">
        <v>10000</v>
      </c>
      <c r="G5" s="20" t="n">
        <v>2200</v>
      </c>
      <c r="H5" s="17" t="inlineStr">
        <is>
          <t>Excluded — gradual release</t>
        </is>
      </c>
    </row>
    <row r="6" ht="40" customHeight="1">
      <c r="A6" s="14" t="inlineStr">
        <is>
          <t>Vapor Intrusion Assessment &amp; Mitigation</t>
        </is>
      </c>
      <c r="B6" s="14" t="inlineStr">
        <is>
          <t>RF-09</t>
        </is>
      </c>
      <c r="C6" s="14" t="inlineStr">
        <is>
          <t>Environmental</t>
        </is>
      </c>
      <c r="D6" s="14" t="inlineStr">
        <is>
          <t>Probable (if confirmed)</t>
        </is>
      </c>
      <c r="E6" s="21" t="n">
        <v>200</v>
      </c>
      <c r="F6" s="21" t="n">
        <v>1500</v>
      </c>
      <c r="G6" s="21" t="n">
        <v>0</v>
      </c>
      <c r="H6" s="14" t="inlineStr">
        <is>
          <t>Excluded — gradual release</t>
        </is>
      </c>
    </row>
    <row r="7" ht="40" customHeight="1">
      <c r="A7" s="17" t="inlineStr">
        <is>
          <t>Off-Site Groundwater Remediation (if confirmed)</t>
        </is>
      </c>
      <c r="B7" s="17" t="inlineStr">
        <is>
          <t>RF-09</t>
        </is>
      </c>
      <c r="C7" s="17" t="inlineStr">
        <is>
          <t>Environmental</t>
        </is>
      </c>
      <c r="D7" s="17" t="inlineStr">
        <is>
          <t>Reasonably Possible</t>
        </is>
      </c>
      <c r="E7" s="20" t="n">
        <v>500</v>
      </c>
      <c r="F7" s="20" t="n">
        <v>5000</v>
      </c>
      <c r="G7" s="20" t="n">
        <v>0</v>
      </c>
      <c r="H7" s="17" t="inlineStr">
        <is>
          <t>Excluded — gradual release</t>
        </is>
      </c>
    </row>
    <row r="8" ht="40" customHeight="1">
      <c r="A8" s="14" t="inlineStr">
        <is>
          <t>CDPHE Enforcement Penalty (CDPHE-HW-2024-0093)</t>
        </is>
      </c>
      <c r="B8" s="14" t="inlineStr">
        <is>
          <t>RF-10</t>
        </is>
      </c>
      <c r="C8" s="14" t="inlineStr">
        <is>
          <t>Regulatory</t>
        </is>
      </c>
      <c r="D8" s="14" t="inlineStr">
        <is>
          <t>Probable (some penalty)</t>
        </is>
      </c>
      <c r="E8" s="21" t="n">
        <v>200</v>
      </c>
      <c r="F8" s="21" t="n">
        <v>1163</v>
      </c>
      <c r="G8" s="21" t="n">
        <v>0</v>
      </c>
      <c r="H8" s="14" t="inlineStr">
        <is>
          <t>Regulatory defense sublimit $1M (PLL)</t>
        </is>
      </c>
    </row>
    <row r="9" ht="40" customHeight="1">
      <c r="A9" s="17" t="inlineStr">
        <is>
          <t>Asbestos Long-Tail — Pre-2015 (2012–2014)</t>
        </is>
      </c>
      <c r="B9" s="17" t="inlineStr">
        <is>
          <t>RF-12</t>
        </is>
      </c>
      <c r="C9" s="17" t="inlineStr">
        <is>
          <t>Environmental/Tort</t>
        </is>
      </c>
      <c r="D9" s="17" t="inlineStr">
        <is>
          <t>Remote (per management)</t>
        </is>
      </c>
      <c r="E9" s="20" t="n">
        <v>0</v>
      </c>
      <c r="F9" s="17" t="inlineStr">
        <is>
          <t>Unquantifiable</t>
        </is>
      </c>
      <c r="G9" s="20" t="n">
        <v>0</v>
      </c>
      <c r="H9" s="17" t="inlineStr">
        <is>
          <t>NOT COVERED — pre-retroactive date</t>
        </is>
      </c>
    </row>
    <row r="10" ht="40" customHeight="1">
      <c r="A10" s="14" t="inlineStr">
        <is>
          <t>Asbestos Long-Tail — Post-2015 (2015–2023)</t>
        </is>
      </c>
      <c r="B10" s="14" t="inlineStr">
        <is>
          <t>RF-12</t>
        </is>
      </c>
      <c r="C10" s="14" t="inlineStr">
        <is>
          <t>Environmental/Tort</t>
        </is>
      </c>
      <c r="D10" s="14" t="inlineStr">
        <is>
          <t>Remote (per management)</t>
        </is>
      </c>
      <c r="E10" s="21" t="n">
        <v>0</v>
      </c>
      <c r="F10" s="14" t="inlineStr">
        <is>
          <t>Unquantifiable</t>
        </is>
      </c>
      <c r="G10" s="21" t="n">
        <v>0</v>
      </c>
      <c r="H10" s="14" t="inlineStr">
        <is>
          <t>PLL policy (claims-made)</t>
        </is>
      </c>
    </row>
    <row r="11" ht="40" customHeight="1">
      <c r="A11" s="17" t="inlineStr">
        <is>
          <t>Ramirez v. RES (personal injury)</t>
        </is>
      </c>
      <c r="B11" s="17" t="inlineStr">
        <is>
          <t>RF-14</t>
        </is>
      </c>
      <c r="C11" s="17" t="inlineStr">
        <is>
          <t>Litigation</t>
        </is>
      </c>
      <c r="D11" s="17" t="inlineStr">
        <is>
          <t>Reasonably Possible</t>
        </is>
      </c>
      <c r="E11" s="20" t="n">
        <v>500</v>
      </c>
      <c r="F11" s="20" t="n">
        <v>4800</v>
      </c>
      <c r="G11" s="20" t="n">
        <v>0</v>
      </c>
      <c r="H11" s="17" t="inlineStr">
        <is>
          <t>Pending — reservation of rights issued</t>
        </is>
      </c>
    </row>
    <row r="12" ht="40" customHeight="1">
      <c r="A12" s="14" t="inlineStr">
        <is>
          <t>Harper Environmental Counterclaim</t>
        </is>
      </c>
      <c r="B12" s="14" t="inlineStr">
        <is>
          <t>RF-14 (related)</t>
        </is>
      </c>
      <c r="C12" s="14" t="inlineStr">
        <is>
          <t>Litigation</t>
        </is>
      </c>
      <c r="D12" s="14" t="inlineStr">
        <is>
          <t>Remote</t>
        </is>
      </c>
      <c r="E12" s="21" t="n">
        <v>0</v>
      </c>
      <c r="F12" s="21" t="n">
        <v>340</v>
      </c>
      <c r="G12" s="21" t="n">
        <v>0</v>
      </c>
      <c r="H12" s="14" t="inlineStr">
        <is>
          <t>CGL (if covered)</t>
        </is>
      </c>
    </row>
    <row r="13" ht="40" customHeight="1">
      <c r="A13" s="17" t="inlineStr">
        <is>
          <t>Former Employee FLSA Wage Claim</t>
        </is>
      </c>
      <c r="B13" s="17" t="inlineStr">
        <is>
          <t>RF-15</t>
        </is>
      </c>
      <c r="C13" s="17" t="inlineStr">
        <is>
          <t>Employment</t>
        </is>
      </c>
      <c r="D13" s="17" t="inlineStr">
        <is>
          <t>Reasonably Possible</t>
        </is>
      </c>
      <c r="E13" s="20" t="n">
        <v>100</v>
      </c>
      <c r="F13" s="20" t="n">
        <v>330</v>
      </c>
      <c r="G13" s="20" t="n">
        <v>0</v>
      </c>
      <c r="H13" s="17" t="inlineStr">
        <is>
          <t>Employment practices — excluded from CGL</t>
        </is>
      </c>
    </row>
    <row r="14" ht="40" customHeight="1">
      <c r="A14" s="14" t="inlineStr">
        <is>
          <t>Wasatch Industrial Properties Lease Default Risk</t>
        </is>
      </c>
      <c r="B14" s="14" t="inlineStr">
        <is>
          <t>RF-08/19</t>
        </is>
      </c>
      <c r="C14" s="14" t="inlineStr">
        <is>
          <t>Contractual</t>
        </is>
      </c>
      <c r="D14" s="14" t="inlineStr">
        <is>
          <t>Reasonably Possible</t>
        </is>
      </c>
      <c r="E14" s="21" t="n">
        <v>0</v>
      </c>
      <c r="F14" s="14" t="inlineStr">
        <is>
          <t>Lease termination</t>
        </is>
      </c>
      <c r="G14" s="21" t="n">
        <v>0</v>
      </c>
      <c r="H14" s="14" t="inlineStr">
        <is>
          <t>Not insurable</t>
        </is>
      </c>
    </row>
    <row r="15" ht="40" customHeight="1">
      <c r="A15" s="17" t="inlineStr">
        <is>
          <t>Single-Trigger CoC Severance (CEO + COO)</t>
        </is>
      </c>
      <c r="B15" s="17" t="inlineStr">
        <is>
          <t>RF-18</t>
        </is>
      </c>
      <c r="C15" s="17" t="inlineStr">
        <is>
          <t>Employment</t>
        </is>
      </c>
      <c r="D15" s="17" t="inlineStr">
        <is>
          <t>Certain (at closing)</t>
        </is>
      </c>
      <c r="E15" s="20" t="n">
        <v>2625</v>
      </c>
      <c r="F15" s="20" t="n">
        <v>2625</v>
      </c>
      <c r="G15" s="20" t="n">
        <v>0</v>
      </c>
      <c r="H15" s="17" t="inlineStr">
        <is>
          <t>Not insurable</t>
        </is>
      </c>
    </row>
    <row r="16" ht="40" customHeight="1">
      <c r="A16" s="14" t="inlineStr">
        <is>
          <t>Double-Trigger CoC Severance (CFO, VP Ops, VP BD)</t>
        </is>
      </c>
      <c r="B16" s="14" t="inlineStr">
        <is>
          <t>RF-18</t>
        </is>
      </c>
      <c r="C16" s="14" t="inlineStr">
        <is>
          <t>Employment</t>
        </is>
      </c>
      <c r="D16" s="14" t="inlineStr">
        <is>
          <t>Reasonably Possible</t>
        </is>
      </c>
      <c r="E16" s="21" t="n">
        <v>0</v>
      </c>
      <c r="F16" s="21" t="n">
        <v>1150</v>
      </c>
      <c r="G16" s="21" t="n">
        <v>0</v>
      </c>
      <c r="H16" s="14" t="inlineStr">
        <is>
          <t>Not insurable</t>
        </is>
      </c>
    </row>
    <row r="17" ht="40" customHeight="1">
      <c r="A17" s="17" t="inlineStr">
        <is>
          <t>NLRB Unionization — CBA Cost Impact</t>
        </is>
      </c>
      <c r="B17" s="17" t="inlineStr">
        <is>
          <t>RF-22</t>
        </is>
      </c>
      <c r="C17" s="17" t="inlineStr">
        <is>
          <t>Labor</t>
        </is>
      </c>
      <c r="D17" s="17" t="inlineStr">
        <is>
          <t>Reasonably Possible</t>
        </is>
      </c>
      <c r="E17" s="20" t="n">
        <v>500</v>
      </c>
      <c r="F17" s="20" t="n">
        <v>3000</v>
      </c>
      <c r="G17" s="20" t="n">
        <v>0</v>
      </c>
      <c r="H17" s="17" t="inlineStr">
        <is>
          <t>Not insurable</t>
        </is>
      </c>
    </row>
    <row r="18" ht="40" customHeight="1">
      <c r="A18" s="14" t="inlineStr">
        <is>
          <t>Credit Facility Mandatory Prepayment</t>
        </is>
      </c>
      <c r="B18" s="14" t="inlineStr">
        <is>
          <t>RF-17</t>
        </is>
      </c>
      <c r="C18" s="14" t="inlineStr">
        <is>
          <t>Financial</t>
        </is>
      </c>
      <c r="D18" s="14" t="inlineStr">
        <is>
          <t>Certain (at closing)</t>
        </is>
      </c>
      <c r="E18" s="21" t="n">
        <v>39163</v>
      </c>
      <c r="F18" s="21" t="n">
        <v>39263</v>
      </c>
      <c r="G18" s="21" t="n">
        <v>0</v>
      </c>
      <c r="H18" s="14" t="inlineStr">
        <is>
          <t>Not applicable — financing obligation</t>
        </is>
      </c>
    </row>
    <row r="19" ht="40" customHeight="1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</row>
    <row r="20" ht="40" customHeight="1">
      <c r="A20" s="22" t="inlineStr">
        <is>
          <t>TOTAL ACCRUED CONTINGENT LIABILITIES</t>
        </is>
      </c>
      <c r="B20" s="22" t="inlineStr"/>
      <c r="C20" s="22" t="inlineStr"/>
      <c r="D20" s="22" t="inlineStr"/>
      <c r="E20" s="22" t="inlineStr"/>
      <c r="F20" s="22" t="inlineStr"/>
      <c r="G20" s="23" t="n">
        <v>2200</v>
      </c>
      <c r="H20" s="22" t="inlineStr"/>
    </row>
    <row r="21" ht="40" customHeight="1">
      <c r="A21" s="22" t="inlineStr">
        <is>
          <t>TOTAL UNACCRUED CONTINGENT EXPOSURE (excl. asbestos, NLRB, lease)</t>
        </is>
      </c>
      <c r="B21" s="22" t="inlineStr"/>
      <c r="C21" s="22" t="inlineStr"/>
      <c r="D21" s="22" t="inlineStr"/>
      <c r="E21" s="23" t="n">
        <v>5825</v>
      </c>
      <c r="F21" s="23" t="n">
        <v>66921</v>
      </c>
      <c r="G21" s="23" t="n">
        <v>0</v>
      </c>
      <c r="H21" s="22" t="inlineStr"/>
    </row>
    <row r="22" ht="40" customHeight="1">
      <c r="A22" s="22" t="inlineStr">
        <is>
          <t>TOTAL UNACCRUED CONTINGENT EXPOSURE (incl. certain items)</t>
        </is>
      </c>
      <c r="B22" s="22" t="inlineStr"/>
      <c r="C22" s="22" t="inlineStr"/>
      <c r="D22" s="22" t="inlineStr"/>
      <c r="E22" s="23" t="n">
        <v>47613</v>
      </c>
      <c r="F22" s="23" t="n">
        <v>108334</v>
      </c>
      <c r="G22" s="23" t="n">
        <v>0</v>
      </c>
      <c r="H22" s="22" t="inlineStr">
        <is>
          <t>Includes credit facility repayment and certain severance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2026-08-24T23:07:09Z</dcterms:created>
  <dcterms:modified xmlns:dcterms="http://purl.org/dc/terms/" xmlns:xsi="http://www.w3.org/2001/XMLSchema-instance" xsi:type="dcterms:W3CDTF">2026-08-24T23:07:09Z</dcterms:modified>
</cp:coreProperties>
</file>