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d Flag Tracker" sheetId="2" state="visible" r:id="rId2"/>
    <sheet xmlns:r="http://schemas.openxmlformats.org/officeDocument/2006/relationships" name="Financial Flags" sheetId="3" state="visible" r:id="rId3"/>
    <sheet xmlns:r="http://schemas.openxmlformats.org/officeDocument/2006/relationships" name="Revenue &amp; Contract Risk" sheetId="4" state="visible" r:id="rId4"/>
    <sheet xmlns:r="http://schemas.openxmlformats.org/officeDocument/2006/relationships" name="Environmental &amp; Regulatory" sheetId="5" state="visible" r:id="rId5"/>
    <sheet xmlns:r="http://schemas.openxmlformats.org/officeDocument/2006/relationships" name="Debt &amp; Closing Mechanics" sheetId="6" state="visible" r:id="rId6"/>
    <sheet xmlns:r="http://schemas.openxmlformats.org/officeDocument/2006/relationships" name="Labor &amp; HR" sheetId="7" state="visible" r:id="rId7"/>
    <sheet xmlns:r="http://schemas.openxmlformats.org/officeDocument/2006/relationships" name="Action Item Log" sheetId="8" state="visible" r:id="rId8"/>
  </sheets>
  <definedNames>
    <definedName name="_xlnm._FilterDatabase" localSheetId="1" hidden="1">'Red Flag Tracker'!$A$2:$L$23</definedName>
    <definedName name="_xlnm._FilterDatabase" localSheetId="7" hidden="1">'Action Item Log'!$A$2:$H$21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b val="1"/>
      <color rgb="00C9A84C"/>
      <sz val="22"/>
    </font>
    <font>
      <name val="Calibri"/>
      <color rgb="00FFFFFF"/>
      <sz val="16"/>
    </font>
    <font>
      <name val="Calibri"/>
      <color rgb="00BDC3C7"/>
      <sz val="11"/>
    </font>
    <font>
      <name val="Calibri"/>
      <b val="1"/>
      <color rgb="001F2D3D"/>
      <sz val="10"/>
    </font>
    <font>
      <name val="Calibri"/>
      <color rgb="00000000"/>
      <sz val="10"/>
    </font>
    <font>
      <name val="Calibri"/>
      <b val="1"/>
      <color rgb="001F2D3D"/>
      <sz val="12"/>
    </font>
    <font>
      <name val="Calibri"/>
      <b val="1"/>
      <color rgb="00C0392B"/>
      <sz val="10"/>
    </font>
    <font>
      <name val="Calibri"/>
      <b val="1"/>
      <color rgb="00E67E22"/>
      <sz val="10"/>
    </font>
    <font>
      <name val="Calibri"/>
      <b val="1"/>
      <color rgb="00B7950B"/>
      <sz val="10"/>
    </font>
    <font>
      <name val="Calibri"/>
      <b val="1"/>
      <color rgb="001E8449"/>
      <sz val="10"/>
    </font>
    <font>
      <name val="Calibri"/>
      <b val="1"/>
      <color rgb="003D5A80"/>
      <sz val="10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7F8C8D"/>
      <sz val="10"/>
    </font>
    <font>
      <name val="Calibri"/>
      <b val="1"/>
      <color rgb="00000000"/>
      <sz val="10"/>
    </font>
    <font>
      <name val="Calibri"/>
      <b val="1"/>
      <color rgb="001F2D3D"/>
      <sz val="11"/>
    </font>
    <font>
      <name val="Calibri"/>
      <b val="1"/>
      <sz val="10"/>
    </font>
  </fonts>
  <fills count="10">
    <fill>
      <patternFill/>
    </fill>
    <fill>
      <patternFill patternType="gray125"/>
    </fill>
    <fill>
      <patternFill patternType="solid">
        <fgColor rgb="001F2D3D"/>
      </patternFill>
    </fill>
    <fill>
      <patternFill patternType="solid">
        <fgColor rgb="00F5E6C8"/>
      </patternFill>
    </fill>
    <fill>
      <patternFill patternType="solid">
        <fgColor rgb="00FADBD8"/>
      </patternFill>
    </fill>
    <fill>
      <patternFill patternType="solid">
        <fgColor rgb="00FDEBD0"/>
      </patternFill>
    </fill>
    <fill>
      <patternFill patternType="solid">
        <fgColor rgb="00FEF9E7"/>
      </patternFill>
    </fill>
    <fill>
      <patternFill patternType="solid">
        <fgColor rgb="00D5F5E3"/>
      </patternFill>
    </fill>
    <fill>
      <patternFill patternType="solid">
        <fgColor rgb="002E405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4" fillId="0" borderId="0" pivotButton="0" quotePrefix="0" xfId="0"/>
    <xf numFmtId="0" fontId="5" fillId="0" borderId="0" pivotButton="0" quotePrefix="0" xfId="0"/>
    <xf numFmtId="0" fontId="6" fillId="3" borderId="0" pivotButton="0" quotePrefix="0" xfId="0"/>
    <xf numFmtId="0" fontId="7" fillId="4" borderId="0" applyAlignment="1" pivotButton="0" quotePrefix="0" xfId="0">
      <alignment horizontal="center" vertical="center" wrapText="1"/>
    </xf>
    <xf numFmtId="0" fontId="5" fillId="4" borderId="0" pivotButton="0" quotePrefix="0" xfId="0"/>
    <xf numFmtId="0" fontId="8" fillId="5" borderId="0" applyAlignment="1" pivotButton="0" quotePrefix="0" xfId="0">
      <alignment horizontal="center" vertical="center" wrapText="1"/>
    </xf>
    <xf numFmtId="0" fontId="5" fillId="5" borderId="0" pivotButton="0" quotePrefix="0" xfId="0"/>
    <xf numFmtId="0" fontId="9" fillId="6" borderId="0" applyAlignment="1" pivotButton="0" quotePrefix="0" xfId="0">
      <alignment horizontal="center" vertical="center" wrapText="1"/>
    </xf>
    <xf numFmtId="0" fontId="5" fillId="6" borderId="0" pivotButton="0" quotePrefix="0" xfId="0"/>
    <xf numFmtId="0" fontId="10" fillId="7" borderId="0" applyAlignment="1" pivotButton="0" quotePrefix="0" xfId="0">
      <alignment horizontal="center" vertical="center" wrapText="1"/>
    </xf>
    <xf numFmtId="0" fontId="5" fillId="7" borderId="0" pivotButton="0" quotePrefix="0" xfId="0"/>
    <xf numFmtId="0" fontId="4" fillId="3" borderId="0" applyAlignment="1" pivotButton="0" quotePrefix="0" xfId="0">
      <alignment horizontal="center" vertical="center" wrapText="1"/>
    </xf>
    <xf numFmtId="0" fontId="5" fillId="3" borderId="0" pivotButton="0" quotePrefix="0" xfId="0"/>
    <xf numFmtId="0" fontId="6" fillId="0" borderId="0" pivotButton="0" quotePrefix="0" xfId="0"/>
    <xf numFmtId="0" fontId="11" fillId="0" borderId="0" pivotButton="0" quotePrefix="0" xfId="0"/>
    <xf numFmtId="0" fontId="12" fillId="2" borderId="0" applyAlignment="1" pivotButton="0" quotePrefix="0" xfId="0">
      <alignment horizontal="center" vertical="center" wrapText="1"/>
    </xf>
    <xf numFmtId="0" fontId="1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7" fillId="4" borderId="1" applyAlignment="1" pivotButton="0" quotePrefix="0" xfId="0">
      <alignment horizontal="left" vertical="top" wrapText="1"/>
    </xf>
    <xf numFmtId="0" fontId="14" fillId="0" borderId="1" applyAlignment="1" pivotButton="0" quotePrefix="0" xfId="0">
      <alignment horizontal="left" vertical="top" wrapText="1"/>
    </xf>
    <xf numFmtId="0" fontId="15" fillId="0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left" vertical="top" wrapText="1"/>
    </xf>
    <xf numFmtId="0" fontId="9" fillId="6" borderId="1" applyAlignment="1" pivotButton="0" quotePrefix="0" xfId="0">
      <alignment horizontal="left" vertical="top" wrapText="1"/>
    </xf>
    <xf numFmtId="0" fontId="16" fillId="3" borderId="0" pivotButton="0" quotePrefix="0" xfId="0"/>
    <xf numFmtId="0" fontId="13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top" wrapText="1"/>
    </xf>
    <xf numFmtId="0" fontId="5" fillId="9" borderId="1" applyAlignment="1" pivotButton="0" quotePrefix="0" xfId="0">
      <alignment horizontal="right" vertical="top" wrapText="1"/>
    </xf>
    <xf numFmtId="0" fontId="7" fillId="4" borderId="1" applyAlignment="1" pivotButton="0" quotePrefix="0" xfId="0">
      <alignment horizontal="right" vertical="top" wrapText="1"/>
    </xf>
    <xf numFmtId="0" fontId="4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right" vertical="top" wrapText="1"/>
    </xf>
    <xf numFmtId="0" fontId="15" fillId="5" borderId="1" applyAlignment="1" pivotButton="0" quotePrefix="0" xfId="0">
      <alignment horizontal="left" vertical="top" wrapText="1"/>
    </xf>
    <xf numFmtId="0" fontId="15" fillId="5" borderId="1" applyAlignment="1" pivotButton="0" quotePrefix="0" xfId="0">
      <alignment horizontal="right" vertical="top" wrapText="1"/>
    </xf>
    <xf numFmtId="0" fontId="5" fillId="6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15" fillId="3" borderId="1" applyAlignment="1" pivotButton="0" quotePrefix="0" xfId="0">
      <alignment horizontal="left" vertical="top" wrapText="1"/>
    </xf>
    <xf numFmtId="0" fontId="16" fillId="4" borderId="0" pivotButton="0" quotePrefix="0" xfId="0"/>
    <xf numFmtId="0" fontId="4" fillId="5" borderId="1" applyAlignment="1" pivotButton="0" quotePrefix="0" xfId="0">
      <alignment horizontal="left" vertical="top" wrapText="1"/>
    </xf>
    <xf numFmtId="0" fontId="16" fillId="6" borderId="0" pivotButton="0" quotePrefix="0" xfId="0"/>
    <xf numFmtId="0" fontId="4" fillId="6" borderId="1" applyAlignment="1" pivotButton="0" quotePrefix="0" xfId="0">
      <alignment horizontal="left" vertical="top" wrapText="1"/>
    </xf>
    <xf numFmtId="0" fontId="11" fillId="0" borderId="1" applyAlignment="1" pivotButton="0" quotePrefix="0" xfId="0">
      <alignment horizontal="left" vertical="top" wrapText="1"/>
    </xf>
    <xf numFmtId="0" fontId="17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58" customWidth="1" min="3" max="3"/>
    <col width="20" customWidth="1" min="4" max="4"/>
  </cols>
  <sheetData>
    <row r="1">
      <c r="A1" s="1" t="n"/>
      <c r="B1" s="1" t="n"/>
      <c r="C1" s="1" t="n"/>
      <c r="D1" s="1" t="n"/>
      <c r="E1" s="1" t="n"/>
    </row>
    <row r="2" ht="36" customHeight="1">
      <c r="A2" s="1" t="n"/>
      <c r="B2" s="2" t="inlineStr">
        <is>
          <t>PROJECT RIDGELINE</t>
        </is>
      </c>
      <c r="E2" s="1" t="n"/>
    </row>
    <row r="3" ht="28" customHeight="1">
      <c r="A3" s="1" t="n"/>
      <c r="B3" s="3" t="inlineStr">
        <is>
          <t>Diligence Red Flag Tracker</t>
        </is>
      </c>
      <c r="E3" s="1" t="n"/>
    </row>
    <row r="4" ht="20" customHeight="1">
      <c r="A4" s="1" t="n"/>
      <c r="B4" s="4" t="inlineStr">
        <is>
          <t>Ridgeline Environmental Services, Inc. — Acquisition by Sycamore Capital Partners, LP</t>
        </is>
      </c>
      <c r="E4" s="1" t="n"/>
    </row>
    <row r="5">
      <c r="A5" s="1" t="n"/>
      <c r="B5" s="1" t="n"/>
      <c r="C5" s="1" t="n"/>
      <c r="D5" s="1" t="n"/>
      <c r="E5" s="1" t="n"/>
    </row>
    <row r="6">
      <c r="A6" s="1" t="n"/>
      <c r="B6" s="1" t="n"/>
      <c r="C6" s="1" t="n"/>
      <c r="D6" s="1" t="n"/>
      <c r="E6" s="1" t="n"/>
    </row>
    <row r="7">
      <c r="A7" s="1" t="n"/>
      <c r="B7" s="1" t="n"/>
      <c r="C7" s="1" t="n"/>
      <c r="D7" s="1" t="n"/>
      <c r="E7" s="1" t="n"/>
    </row>
    <row r="9" ht="18" customHeight="1">
      <c r="B9" s="5" t="inlineStr">
        <is>
          <t>Prepared For:</t>
        </is>
      </c>
      <c r="C9" s="6" t="inlineStr">
        <is>
          <t>Sycamore Capital Partners, LP Deal Team &amp; Thornfield &amp; Associates LLP</t>
        </is>
      </c>
    </row>
    <row r="10" ht="18" customHeight="1">
      <c r="B10" s="5" t="inlineStr">
        <is>
          <t>Prepared By:</t>
        </is>
      </c>
      <c r="C10" s="6" t="inlineStr">
        <is>
          <t>Diligence Review Team</t>
        </is>
      </c>
    </row>
    <row r="11" ht="18" customHeight="1">
      <c r="B11" s="5" t="inlineStr">
        <is>
          <t>Date:</t>
        </is>
      </c>
      <c r="C11" s="6" t="inlineStr">
        <is>
          <t>December 2024</t>
        </is>
      </c>
    </row>
    <row r="12" ht="18" customHeight="1">
      <c r="B12" s="5" t="inlineStr">
        <is>
          <t>Confidentiality:</t>
        </is>
      </c>
      <c r="C12" s="6" t="inlineStr">
        <is>
          <t>HIGHLY CONFIDENTIAL — Subject to NDA dated September 12, 2024</t>
        </is>
      </c>
    </row>
    <row r="13" ht="18" customHeight="1">
      <c r="B13" s="5" t="inlineStr">
        <is>
          <t>Data Room:</t>
        </is>
      </c>
      <c r="C13" s="6" t="inlineStr">
        <is>
          <t>Project Ridgeline Virtual Data Room (13 documents reviewed)</t>
        </is>
      </c>
    </row>
    <row r="14" ht="18" customHeight="1">
      <c r="B14" s="5" t="inlineStr">
        <is>
          <t>Fiscal Year End:</t>
        </is>
      </c>
      <c r="C14" s="6" t="inlineStr">
        <is>
          <t>September 30</t>
        </is>
      </c>
    </row>
    <row r="16" ht="22" customHeight="1">
      <c r="B16" s="7" t="inlineStr">
        <is>
          <t>RED FLAG SUMMARY</t>
        </is>
      </c>
    </row>
    <row r="17" ht="18" customHeight="1">
      <c r="B17" s="8" t="inlineStr">
        <is>
          <t>CRITICAL</t>
        </is>
      </c>
      <c r="C17" s="9" t="inlineStr">
        <is>
          <t>6 finding(s)</t>
        </is>
      </c>
    </row>
    <row r="18" ht="18" customHeight="1">
      <c r="B18" s="10" t="inlineStr">
        <is>
          <t>HIGH</t>
        </is>
      </c>
      <c r="C18" s="11" t="inlineStr">
        <is>
          <t>11 finding(s)</t>
        </is>
      </c>
    </row>
    <row r="19" ht="18" customHeight="1">
      <c r="B19" s="12" t="inlineStr">
        <is>
          <t>MEDIUM</t>
        </is>
      </c>
      <c r="C19" s="13" t="inlineStr">
        <is>
          <t>2 finding(s)</t>
        </is>
      </c>
    </row>
    <row r="20" ht="18" customHeight="1">
      <c r="B20" s="14" t="inlineStr">
        <is>
          <t>LOW</t>
        </is>
      </c>
      <c r="C20" s="15" t="inlineStr">
        <is>
          <t>0 finding(s)</t>
        </is>
      </c>
    </row>
    <row r="21" ht="18" customHeight="1">
      <c r="B21" s="16" t="inlineStr">
        <is>
          <t>TOTAL</t>
        </is>
      </c>
      <c r="C21" s="17" t="inlineStr">
        <is>
          <t>19 finding(s)</t>
        </is>
      </c>
    </row>
    <row r="23" ht="22" customHeight="1">
      <c r="B23" s="18" t="inlineStr">
        <is>
          <t>WORKBOOK NAVIGATION</t>
        </is>
      </c>
    </row>
    <row r="24" ht="16" customHeight="1">
      <c r="B24" s="19" t="inlineStr">
        <is>
          <t>Red Flag Tracker</t>
        </is>
      </c>
      <c r="C24" s="6" t="inlineStr">
        <is>
          <t>Master log of all 19 red flags with severity, exposure, and status</t>
        </is>
      </c>
    </row>
    <row r="25" ht="16" customHeight="1">
      <c r="B25" s="19" t="inlineStr">
        <is>
          <t>Financial Flags</t>
        </is>
      </c>
      <c r="C25" s="6" t="inlineStr">
        <is>
          <t>EBITDA bridge, add-back analysis, and capex recast</t>
        </is>
      </c>
    </row>
    <row r="26" ht="16" customHeight="1">
      <c r="B26" s="19" t="inlineStr">
        <is>
          <t>Revenue &amp; Contract Risk</t>
        </is>
      </c>
      <c r="C26" s="6" t="inlineStr">
        <is>
          <t>DOE ceiling analysis and customer CoC risk matrix</t>
        </is>
      </c>
    </row>
    <row r="27" ht="16" customHeight="1">
      <c r="B27" s="19" t="inlineStr">
        <is>
          <t>Environmental &amp; Regulatory</t>
        </is>
      </c>
      <c r="C27" s="6" t="inlineStr">
        <is>
          <t>Environmental liability, permit status, and regulatory findings</t>
        </is>
      </c>
    </row>
    <row r="28" ht="16" customHeight="1">
      <c r="B28" s="19" t="inlineStr">
        <is>
          <t>Debt &amp; Closing Mechanics</t>
        </is>
      </c>
      <c r="C28" s="6" t="inlineStr">
        <is>
          <t>Credit agreement CoC, mandatory prepayment, and severance analysis</t>
        </is>
      </c>
    </row>
    <row r="29" ht="16" customHeight="1">
      <c r="B29" s="19" t="inlineStr">
        <is>
          <t>Labor &amp; HR</t>
        </is>
      </c>
      <c r="C29" s="6" t="inlineStr">
        <is>
          <t>NLRB petition, wage claims, and key person risk</t>
        </is>
      </c>
    </row>
    <row r="30" ht="16" customHeight="1">
      <c r="B30" s="19" t="inlineStr">
        <is>
          <t>Action Item Log</t>
        </is>
      </c>
      <c r="C30" s="6" t="inlineStr">
        <is>
          <t>Prioritized pre-closing action items with owner and deadline</t>
        </is>
      </c>
    </row>
  </sheetData>
  <mergeCells count="5">
    <mergeCell ref="B3:D3"/>
    <mergeCell ref="B16:C16"/>
    <mergeCell ref="B4:D4"/>
    <mergeCell ref="B23:C23"/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38" customWidth="1" min="3" max="3"/>
    <col width="11" customWidth="1" min="4" max="4"/>
    <col width="20" customWidth="1" min="5" max="5"/>
    <col width="22" customWidth="1" min="6" max="6"/>
    <col width="44" customWidth="1" min="7" max="7"/>
    <col width="30" customWidth="1" min="8" max="8"/>
    <col width="34" customWidth="1" min="9" max="9"/>
    <col width="24" customWidth="1" min="10" max="10"/>
    <col width="14" customWidth="1" min="11" max="11"/>
    <col width="16" customWidth="1" min="12" max="12"/>
  </cols>
  <sheetData>
    <row r="1" ht="26" customHeight="1">
      <c r="A1" s="20" t="inlineStr">
        <is>
          <t>PROJECT RIDGELINE — DILIGENCE RED FLAG TRACKER (19 FINDINGS)</t>
        </is>
      </c>
    </row>
    <row r="2" ht="32" customHeight="1">
      <c r="A2" s="21" t="inlineStr">
        <is>
          <t>ID</t>
        </is>
      </c>
      <c r="B2" s="21" t="inlineStr">
        <is>
          <t>Category</t>
        </is>
      </c>
      <c r="C2" s="21" t="inlineStr">
        <is>
          <t>Red Flag Summary</t>
        </is>
      </c>
      <c r="D2" s="21" t="inlineStr">
        <is>
          <t>Severity</t>
        </is>
      </c>
      <c r="E2" s="21" t="inlineStr">
        <is>
          <t>Est. Financial Exposure</t>
        </is>
      </c>
      <c r="F2" s="21" t="inlineStr">
        <is>
          <t>Source Document(s)</t>
        </is>
      </c>
      <c r="G2" s="21" t="inlineStr">
        <is>
          <t>Key Facts</t>
        </is>
      </c>
      <c r="H2" s="21" t="inlineStr">
        <is>
          <t>Buyer Risk</t>
        </is>
      </c>
      <c r="I2" s="21" t="inlineStr">
        <is>
          <t>Recommended Action</t>
        </is>
      </c>
      <c r="J2" s="21" t="inlineStr">
        <is>
          <t>SPA Treatment</t>
        </is>
      </c>
      <c r="K2" s="21" t="inlineStr">
        <is>
          <t>Status</t>
        </is>
      </c>
      <c r="L2" s="21" t="inlineStr">
        <is>
          <t>Priority Deadline</t>
        </is>
      </c>
    </row>
    <row r="3" ht="65" customHeight="1">
      <c r="A3" s="22" t="inlineStr">
        <is>
          <t>RF-01</t>
        </is>
      </c>
      <c r="B3" s="23" t="inlineStr">
        <is>
          <t>Financial Quality</t>
        </is>
      </c>
      <c r="C3" s="23" t="inlineStr">
        <is>
          <t>EBITDA discrepancy: CIM shows $22.8M Adj. EBITDA; QoE workbook shows $23.8M — $1.0M gap unreconciled</t>
        </is>
      </c>
      <c r="D3" s="24" t="inlineStr">
        <is>
          <t>CRITICAL</t>
        </is>
      </c>
      <c r="E3" s="23" t="inlineStr">
        <is>
          <t>$8–9M EV impact at 8–9x multiple</t>
        </is>
      </c>
      <c r="F3" s="25" t="inlineStr">
        <is>
          <t>QoE workbook (EBITDA Bridge tab); CIM §VI.B</t>
        </is>
      </c>
      <c r="G3" s="23" t="inlineStr">
        <is>
          <t>Management acknowledged gap but has not identified the source adjustment. Entire $182–205M EV anchored to this figure.</t>
        </is>
      </c>
      <c r="H3" s="23" t="inlineStr">
        <is>
          <t>Valuation overstated by up to $9M if QoE figure is correct. Fundamental data integrity failure at outset of QoE process.</t>
        </is>
      </c>
      <c r="I3" s="23" t="inlineStr">
        <is>
          <t>Demand full line-by-line reconciliation before SPA signing. Require Bridgewater Forsyth Group sign-off on final figure.</t>
        </is>
      </c>
      <c r="J3" s="23" t="inlineStr">
        <is>
          <t>Condition precedent to SPA signing; adjust EV if reconciliation changes Adj. EBITDA</t>
        </is>
      </c>
      <c r="K3" s="24" t="inlineStr">
        <is>
          <t>Unresolved</t>
        </is>
      </c>
      <c r="L3" s="26" t="inlineStr">
        <is>
          <t>Pre-SPA</t>
        </is>
      </c>
    </row>
    <row r="4" ht="65" customHeight="1">
      <c r="A4" s="22" t="inlineStr">
        <is>
          <t>RF-02</t>
        </is>
      </c>
      <c r="B4" s="23" t="inlineStr">
        <is>
          <t>Financial Quality</t>
        </is>
      </c>
      <c r="C4" s="23" t="inlineStr">
        <is>
          <t>Aggressive add-back package: $5.4M in adjustments includes recurring/questionable items; litigation settlement description inconsistent</t>
        </is>
      </c>
      <c r="D4" s="27" t="inlineStr">
        <is>
          <t>HIGH</t>
        </is>
      </c>
      <c r="E4" s="23" t="inlineStr">
        <is>
          <t>$5.4M EBITDA at risk</t>
        </is>
      </c>
      <c r="F4" s="25" t="inlineStr">
        <is>
          <t>QoE workbook (EBITDA Bridge); Credit Agreement Summary §4; Litigation Summary §IV.A</t>
        </is>
      </c>
      <c r="G4" s="23" t="inlineStr">
        <is>
          <t>Owner comp normalization ($950K), Pinnacle integration in FY2024 ($800K, 2+ yrs post-close), ERP Phase 2 ongoing ($650K), litigation settlement description inconsistent across documents.</t>
        </is>
      </c>
      <c r="H4" s="23" t="inlineStr">
        <is>
          <t>True normalized EBITDA may be materially lower; acquisition financing underwriting at risk.</t>
        </is>
      </c>
      <c r="I4" s="23" t="inlineStr">
        <is>
          <t>Require third-party invoices for each add-back. Obtain Bridgewater Forsyth independent assessment.</t>
        </is>
      </c>
      <c r="J4" s="23" t="inlineStr">
        <is>
          <t>Reduce purchase price if add-backs disallowed; include rep/warranty on EBITDA adjustments</t>
        </is>
      </c>
      <c r="K4" s="24" t="inlineStr">
        <is>
          <t>Unresolved</t>
        </is>
      </c>
      <c r="L4" s="26" t="inlineStr">
        <is>
          <t>Pre-SPA</t>
        </is>
      </c>
    </row>
    <row r="5" ht="65" customHeight="1">
      <c r="A5" s="22" t="inlineStr">
        <is>
          <t>RF-03</t>
        </is>
      </c>
      <c r="B5" s="23" t="inlineStr">
        <is>
          <t>Financial Quality</t>
        </is>
      </c>
      <c r="C5" s="23" t="inlineStr">
        <is>
          <t>Reported EBITDA declined 27% YoY (FY2023: $25.2M to FY2024: $18.4M); not disclosed in CIM</t>
        </is>
      </c>
      <c r="D5" s="27" t="inlineStr">
        <is>
          <t>HIGH</t>
        </is>
      </c>
      <c r="E5" s="23" t="inlineStr">
        <is>
          <t>Trend risk; structural margin compression</t>
        </is>
      </c>
      <c r="F5" s="25" t="inlineStr">
        <is>
          <t>QoE workbook (Historical P&amp;L tab)</t>
        </is>
      </c>
      <c r="G5" s="23" t="inlineStr">
        <is>
          <t>Reported EBITDA margin fell from 22.0% to 14.5%. CIM omits historical reported EBITDA, making trend invisible to CIM-only readers.</t>
        </is>
      </c>
      <c r="H5" s="23" t="inlineStr">
        <is>
          <t>Underlying earnings power may be deteriorating; add-backs may be masking structural margin compression.</t>
        </is>
      </c>
      <c r="I5" s="23" t="inlineStr">
        <is>
          <t>Require 5-year reported EBITDA bridge. Assess whether FY2024 items will recur in FY2025.</t>
        </is>
      </c>
      <c r="J5" s="23" t="inlineStr">
        <is>
          <t>Rep/warranty on accuracy of financial statements; MAC definition to capture EBITDA deterioration</t>
        </is>
      </c>
      <c r="K5" s="24" t="inlineStr">
        <is>
          <t>Unresolved</t>
        </is>
      </c>
      <c r="L5" s="26" t="inlineStr">
        <is>
          <t>Pre-SPA</t>
        </is>
      </c>
    </row>
    <row r="6" ht="65" customHeight="1">
      <c r="A6" s="22" t="inlineStr">
        <is>
          <t>RF-04</t>
        </is>
      </c>
      <c r="B6" s="23" t="inlineStr">
        <is>
          <t>Financial Quality</t>
        </is>
      </c>
      <c r="C6" s="23" t="inlineStr">
        <is>
          <t>Fleet replacement backlog: 38/85 units (44.7%) past useful life; true maintenance capex ~$7.3–7.8M vs. $4.0–4.5M stated</t>
        </is>
      </c>
      <c r="D6" s="27" t="inlineStr">
        <is>
          <t>HIGH</t>
        </is>
      </c>
      <c r="E6" s="23" t="inlineStr">
        <is>
          <t>$3.3M/yr incremental capex; $9.8M backlog</t>
        </is>
      </c>
      <c r="F6" s="25" t="inlineStr">
        <is>
          <t>QoE workbook (Fleet &amp; Equipment Schedule)</t>
        </is>
      </c>
      <c r="G6" s="23" t="inlineStr">
        <is>
          <t>Average fleet age 8.2 yrs vs. 7.0 yr useful life. $9.8M replacement cost for past-life units. Several units 'At End of Life — No Replacement Scheduled.'</t>
        </is>
      </c>
      <c r="H6" s="23" t="inlineStr">
        <is>
          <t>Normalized free cash flow overstated by ~$3M/yr; operational risk from aging fleet in hazmat transport.</t>
        </is>
      </c>
      <c r="I6" s="23" t="inlineStr">
        <is>
          <t>Commission independent fleet appraisal. Recast normalized maintenance capex at $7.0–8.0M.</t>
        </is>
      </c>
      <c r="J6" s="23" t="inlineStr">
        <is>
          <t>Adjust purchase price for capex understatement; require fleet condition reps in SPA</t>
        </is>
      </c>
      <c r="K6" s="24" t="inlineStr">
        <is>
          <t>Unresolved</t>
        </is>
      </c>
      <c r="L6" s="26" t="inlineStr">
        <is>
          <t>Pre-SPA</t>
        </is>
      </c>
    </row>
    <row r="7" ht="65" customHeight="1">
      <c r="A7" s="22" t="inlineStr">
        <is>
          <t>RF-05</t>
        </is>
      </c>
      <c r="B7" s="23" t="inlineStr">
        <is>
          <t>Revenue &amp; Contract</t>
        </is>
      </c>
      <c r="C7" s="23" t="inlineStr">
        <is>
          <t>DOE IDIQ ceiling exhaustion: $12.3M remaining at $2.03M/month run rate — ceiling exhausted Apr–May 2025</t>
        </is>
      </c>
      <c r="D7" s="24" t="inlineStr">
        <is>
          <t>CRITICAL</t>
        </is>
      </c>
      <c r="E7" s="23" t="inlineStr">
        <is>
          <t>$12.1M FY2025 revenue headwind (9.5% of total)</t>
        </is>
      </c>
      <c r="F7" s="25" t="inlineStr">
        <is>
          <t>Customer Contract Summary (DOE IDIQ Utilization tab); CIM §VI.D</t>
        </is>
      </c>
      <c r="G7" s="23" t="inlineStr">
        <is>
          <t>72.7% of $45M ceiling consumed in 61.7% of contract period. Contract expires Aug 31, 2026 — 16 months of unfunded period. Not disclosed in CIM.</t>
        </is>
      </c>
      <c r="H7" s="23" t="inlineStr">
        <is>
          <t>DOE revenue could fall from $24.4M to $12.3M in FY2025 — a 50%+ decline in the largest customer relationship.</t>
        </is>
      </c>
      <c r="I7" s="23" t="inlineStr">
        <is>
          <t>Require written CO confirmation of ceiling modification prospects. Model downside at $12.3M DOE revenue.</t>
        </is>
      </c>
      <c r="J7" s="23" t="inlineStr">
        <is>
          <t>Purchase price adjustment mechanism tied to DOE contract status at closing; specific DOE rep/warranty</t>
        </is>
      </c>
      <c r="K7" s="24" t="inlineStr">
        <is>
          <t>Unresolved</t>
        </is>
      </c>
      <c r="L7" s="26" t="inlineStr">
        <is>
          <t>Immediate</t>
        </is>
      </c>
    </row>
    <row r="8" ht="65" customHeight="1">
      <c r="A8" s="22" t="inlineStr">
        <is>
          <t>RF-06</t>
        </is>
      </c>
      <c r="B8" s="23" t="inlineStr">
        <is>
          <t>Revenue &amp; Contract</t>
        </is>
      </c>
      <c r="C8" s="23" t="inlineStr">
        <is>
          <t>DOE contract novation risk: Anti-Assignment Act (41 U.S.C. §6305); Clause H-12 requires 30-day ownership change notice</t>
        </is>
      </c>
      <c r="D8" s="24" t="inlineStr">
        <is>
          <t>CRITICAL</t>
        </is>
      </c>
      <c r="E8" s="23" t="inlineStr">
        <is>
          <t>$24.4M revenue at risk (19.2% of total)</t>
        </is>
      </c>
      <c r="F8" s="25" t="inlineStr">
        <is>
          <t>Customer Contract Summary (DOE IDIQ tab); CIM §VIII.A</t>
        </is>
      </c>
      <c r="G8" s="23" t="inlineStr">
        <is>
          <t>Stock acquisition may require novation agreement per FAR 42.12. Failure to notify CO within 30 days = grounds for termination for default.</t>
        </is>
      </c>
      <c r="H8" s="23" t="inlineStr">
        <is>
          <t>Loss of DOE contract would eliminate 19.2% of revenue and damage government contracting reputation.</t>
        </is>
      </c>
      <c r="I8" s="23" t="inlineStr">
        <is>
          <t>Engage DOE CO immediately. Make novation/CO approval a hard closing condition.</t>
        </is>
      </c>
      <c r="J8" s="23" t="inlineStr">
        <is>
          <t>Hard closing condition: written DOE confirmation; specific DOE indemnity with 6-yr survival</t>
        </is>
      </c>
      <c r="K8" s="24" t="inlineStr">
        <is>
          <t>Unresolved</t>
        </is>
      </c>
      <c r="L8" s="26" t="inlineStr">
        <is>
          <t>Immediate</t>
        </is>
      </c>
    </row>
    <row r="9" ht="65" customHeight="1">
      <c r="A9" s="22" t="inlineStr">
        <is>
          <t>RF-07</t>
        </is>
      </c>
      <c r="B9" s="23" t="inlineStr">
        <is>
          <t>Revenue &amp; Contract</t>
        </is>
      </c>
      <c r="C9" s="23" t="inlineStr">
        <is>
          <t>8 of top 20 customer contracts contain CoC/assignment provisions covering ~$28.6M (22.5%) of revenue</t>
        </is>
      </c>
      <c r="D9" s="27" t="inlineStr">
        <is>
          <t>HIGH</t>
        </is>
      </c>
      <c r="E9" s="23" t="inlineStr">
        <is>
          <t>$28.6M revenue at risk</t>
        </is>
      </c>
      <c r="F9" s="25" t="inlineStr">
        <is>
          <t>Customer Contract Summary (Top 20 tab; Concentration Summary tab)</t>
        </is>
      </c>
      <c r="G9" s="23" t="inlineStr">
        <is>
          <t>Includes Intermountain Health ($7.1M), Rocky Mountain Pipeline ($4.2M), Colorado DOT ($3.9M), Utah DEQ ($4.6M), Bridger Valley ($4.1M), Frontier E&amp;P ($2.6M), Teton Steel ($2.1M).</t>
        </is>
      </c>
      <c r="H9" s="23" t="inlineStr">
        <is>
          <t>Failure to obtain consents could trigger contract termination or renegotiation at less favorable terms.</t>
        </is>
      </c>
      <c r="I9" s="23" t="inlineStr">
        <is>
          <t>Map all consent requirements. Initiate consent solicitation immediately. Make material consents a closing condition.</t>
        </is>
      </c>
      <c r="J9" s="23" t="inlineStr">
        <is>
          <t>Closing condition: receipt of material customer consents; rep/warranty on contract status</t>
        </is>
      </c>
      <c r="K9" s="24" t="inlineStr">
        <is>
          <t>Unresolved</t>
        </is>
      </c>
      <c r="L9" s="26" t="inlineStr">
        <is>
          <t>Pre-SPA</t>
        </is>
      </c>
    </row>
    <row r="10" ht="65" customHeight="1">
      <c r="A10" s="22" t="inlineStr">
        <is>
          <t>RF-08</t>
        </is>
      </c>
      <c r="B10" s="23" t="inlineStr">
        <is>
          <t>Revenue &amp; Contract</t>
        </is>
      </c>
      <c r="C10" s="23" t="inlineStr">
        <is>
          <t>CMMC MSA ($14.5M, 11.4%): no minimum volume commitments; 60-day termination for convenience; renews May 31, 2025</t>
        </is>
      </c>
      <c r="D10" s="27" t="inlineStr">
        <is>
          <t>HIGH</t>
        </is>
      </c>
      <c r="E10" s="23" t="inlineStr">
        <is>
          <t>$14.5M revenue at risk</t>
        </is>
      </c>
      <c r="F10" s="25" t="inlineStr">
        <is>
          <t>Customer Contract Summary (Top 20 tab); CIM §VI.D</t>
        </is>
      </c>
      <c r="G10" s="23" t="inlineStr">
        <is>
          <t>Relationship since 2014 but entirely at-will. CIM characterizes as 'recurring revenue' — overstates contractual protection. Current term expires within closing window.</t>
        </is>
      </c>
      <c r="H10" s="23" t="inlineStr">
        <is>
          <t>$14.5M of revenue could be lost with 60 days' notice; no contractual floor.</t>
        </is>
      </c>
      <c r="I10" s="23" t="inlineStr">
        <is>
          <t>Obtain CMMC comfort letter. Negotiate longer-term, volume-committed contract pre-closing. Confirm auto-renewal before closing.</t>
        </is>
      </c>
      <c r="J10" s="23" t="inlineStr">
        <is>
          <t>Rep/warranty on CMMC relationship; consider CMMC consent as closing condition</t>
        </is>
      </c>
      <c r="K10" s="24" t="inlineStr">
        <is>
          <t>Unresolved</t>
        </is>
      </c>
      <c r="L10" s="26" t="inlineStr">
        <is>
          <t>Pre-SPA</t>
        </is>
      </c>
    </row>
    <row r="11" ht="65" customHeight="1">
      <c r="A11" s="22" t="inlineStr">
        <is>
          <t>RF-09</t>
        </is>
      </c>
      <c r="B11" s="23" t="inlineStr">
        <is>
          <t>Environmental</t>
        </is>
      </c>
      <c r="C11" s="23" t="inlineStr">
        <is>
          <t>Grand Junction Phase II ESA stale (June 2019, 5+ years old); vapor intrusion unassessed; off-site plume unconfirmed</t>
        </is>
      </c>
      <c r="D11" s="24" t="inlineStr">
        <is>
          <t>CRITICAL</t>
        </is>
      </c>
      <c r="E11" s="23" t="inlineStr">
        <is>
          <t>$2.6M–$10M+ (unquantified upside risk)</t>
        </is>
      </c>
      <c r="F11" s="25" t="inlineStr">
        <is>
          <t>Phase II ESA Executive Summary; Environmental Permit Schedule §2.1; Litigation Summary §VI.A</t>
        </is>
      </c>
      <c r="G11" s="23" t="inlineStr">
        <is>
          <t>2019 cost estimate $1.8–2.6M in 2019 dollars. Vapor intrusion pathway identified but not assessed. Off-site monitoring wells not installed. DNAPL migration risk. ESA itself recommends update before any property transaction.</t>
        </is>
      </c>
      <c r="H11" s="23" t="inlineStr">
        <is>
          <t>Remediation cost could materially exceed accrual; vapor intrusion could require occupational health measures; off-site migration could trigger expanded regulatory requirements.</t>
        </is>
      </c>
      <c r="I11" s="23" t="inlineStr">
        <is>
          <t>Commission updated Phase II ESA and vapor intrusion assessment immediately. Do not close without current data.</t>
        </is>
      </c>
      <c r="J11" s="23" t="inlineStr">
        <is>
          <t>Specific environmental indemnity; separate environmental escrow; 6-yr survival (per LOI); environmental rep/warranty</t>
        </is>
      </c>
      <c r="K11" s="24" t="inlineStr">
        <is>
          <t>Unresolved</t>
        </is>
      </c>
      <c r="L11" s="26" t="inlineStr">
        <is>
          <t>Immediate</t>
        </is>
      </c>
    </row>
    <row r="12" ht="65" customHeight="1">
      <c r="A12" s="22" t="inlineStr">
        <is>
          <t>RF-10</t>
        </is>
      </c>
      <c r="B12" s="23" t="inlineStr">
        <is>
          <t>Environmental</t>
        </is>
      </c>
      <c r="C12" s="23" t="inlineStr">
        <is>
          <t>PLL policy excludes gradual contamination at owned facilities — Grand Junction contamination explicitly uninsured</t>
        </is>
      </c>
      <c r="D12" s="27" t="inlineStr">
        <is>
          <t>HIGH</t>
        </is>
      </c>
      <c r="E12" s="23" t="inlineStr">
        <is>
          <t>Full remediation cost uninsured</t>
        </is>
      </c>
      <c r="F12" s="25" t="inlineStr">
        <is>
          <t>Insurance Program Summary §4; Phase II ESA §4.3</t>
        </is>
      </c>
      <c r="G12" s="23" t="inlineStr">
        <is>
          <t>ESA characterizes contamination as 'gradual releases over multiple decades.' PLL policy excludes any pollution condition developing over &gt;72 hours. $10M PLL limit irrelevant to this exposure.</t>
        </is>
      </c>
      <c r="H12" s="23" t="inlineStr">
        <is>
          <t>Company's largest known environmental liability has no insurance backstop; buyer bears full remediation cost.</t>
        </is>
      </c>
      <c r="I12" s="23" t="inlineStr">
        <is>
          <t>Confirm SPA environmental indemnity is not conditioned on insurance coverage. Evaluate environmental cost cap insurance.</t>
        </is>
      </c>
      <c r="J12" s="23" t="inlineStr">
        <is>
          <t>Environmental indemnity not subject to insurance offset; consider pollution cost cap policy as closing deliverable</t>
        </is>
      </c>
      <c r="K12" s="24" t="inlineStr">
        <is>
          <t>Unresolved</t>
        </is>
      </c>
      <c r="L12" s="26" t="inlineStr">
        <is>
          <t>Pre-SPA</t>
        </is>
      </c>
    </row>
    <row r="13" ht="65" customHeight="1">
      <c r="A13" s="22" t="inlineStr">
        <is>
          <t>RF-11</t>
        </is>
      </c>
      <c r="B13" s="23" t="inlineStr">
        <is>
          <t>Environmental</t>
        </is>
      </c>
      <c r="C13" s="23" t="inlineStr">
        <is>
          <t>Asbestos long-tail: 145 sites, 11-yr operation ($31.2M revenue); pre-2015 work uninsured; 2 open WC claims</t>
        </is>
      </c>
      <c r="D13" s="27" t="inlineStr">
        <is>
          <t>HIGH</t>
        </is>
      </c>
      <c r="E13" s="23" t="inlineStr">
        <is>
          <t>Unquantifiable</t>
        </is>
      </c>
      <c r="F13" s="25" t="inlineStr">
        <is>
          <t>Insurance Program Summary §2; Litigation Summary §VI.B; QoE Service Line Detail</t>
        </is>
      </c>
      <c r="G13" s="23" t="inlineStr">
        <is>
          <t>PLL retroactive date Jan 1, 2015 — work from 2012–2014 uninsured. CGL has blanket asbestos exclusion. No tail coverage procured. Two open WC claims from former asbestos employees (filed 2021, 2022).</t>
        </is>
      </c>
      <c r="H13" s="23" t="inlineStr">
        <is>
          <t>Long-tail asbestos claims can emerge decades after exposure; pre-2015 work has no insurance backstop.</t>
        </is>
      </c>
      <c r="I13" s="23" t="inlineStr">
        <is>
          <t>Obtain full asbestos claims history. Evaluate asbestos-specific tail policy. Negotiate specific asbestos indemnity.</t>
        </is>
      </c>
      <c r="J13" s="23" t="inlineStr">
        <is>
          <t>Specific asbestos indemnity with extended survival; asbestos rep/warranty; tail coverage as closing deliverable</t>
        </is>
      </c>
      <c r="K13" s="24" t="inlineStr">
        <is>
          <t>Unresolved</t>
        </is>
      </c>
      <c r="L13" s="26" t="inlineStr">
        <is>
          <t>Pre-SPA</t>
        </is>
      </c>
    </row>
    <row r="14" ht="65" customHeight="1">
      <c r="A14" s="22" t="inlineStr">
        <is>
          <t>RF-12</t>
        </is>
      </c>
      <c r="B14" s="23" t="inlineStr">
        <is>
          <t>Regulatory</t>
        </is>
      </c>
      <c r="C14" s="23" t="inlineStr">
        <is>
          <t>CDPHE NOV (Docket CDPHE-HW-2024-0093): active enforcement; no accrual; penalty up to $1.16M</t>
        </is>
      </c>
      <c r="D14" s="27" t="inlineStr">
        <is>
          <t>HIGH</t>
        </is>
      </c>
      <c r="E14" s="23" t="inlineStr">
        <is>
          <t>$200K–$1.16M penalty</t>
        </is>
      </c>
      <c r="F14" s="25" t="inlineStr">
        <is>
          <t>Litigation Summary §III.A; Environmental Permit Schedule §2.1</t>
        </is>
      </c>
      <c r="G14" s="23" t="inlineStr">
        <is>
          <t>Alleged improper storage of 14,000 gal F001/F002 solvents. Company: 12-day violation ($450K max); CDPHE: 31-day violation ($1.16M max). No accrual recorded. Settlement conference Q1 2025.</t>
        </is>
      </c>
      <c r="H14" s="23" t="inlineStr">
        <is>
          <t>Active RCRA enforcement on core permit; permit condition/suspension risk; credit agreement Event of Default trigger.</t>
        </is>
      </c>
      <c r="I14" s="23" t="inlineStr">
        <is>
          <t>Require resolution before closing or negotiate specific indemnity escrow. Accrue full management estimate in closing balance sheet.</t>
        </is>
      </c>
      <c r="J14" s="23" t="inlineStr">
        <is>
          <t>Specific CDPHE indemnity; separate escrow; closing condition or rep/warranty on regulatory status</t>
        </is>
      </c>
      <c r="K14" s="24" t="inlineStr">
        <is>
          <t>Unresolved</t>
        </is>
      </c>
      <c r="L14" s="26" t="inlineStr">
        <is>
          <t>Pre-SPA</t>
        </is>
      </c>
    </row>
    <row r="15" ht="65" customHeight="1">
      <c r="A15" s="22" t="inlineStr">
        <is>
          <t>RF-13</t>
        </is>
      </c>
      <c r="B15" s="23" t="inlineStr">
        <is>
          <t>Regulatory</t>
        </is>
      </c>
      <c r="C15" s="23" t="inlineStr">
        <is>
          <t>Wyoming permit WY-HW-2019-033 expired Nov 30, 2024; operating under timely renewal provisions</t>
        </is>
      </c>
      <c r="D15" s="27" t="inlineStr">
        <is>
          <t>HIGH</t>
        </is>
      </c>
      <c r="E15" s="23" t="inlineStr">
        <is>
          <t>Operational risk — Casper facility (68 employees, ~23.7% of revenue)</t>
        </is>
      </c>
      <c r="F15" s="25" t="inlineStr">
        <is>
          <t>Environmental Permit Schedule §2.4; CIM §V.C</t>
        </is>
      </c>
      <c r="G15" s="23" t="inlineStr">
        <is>
          <t>Renewal application filed Oct 15, 2024. If renewal denied or conditioned, hazmat operations must cease at Casper.</t>
        </is>
      </c>
      <c r="H15" s="23" t="inlineStr">
        <is>
          <t>Permit non-renewal would shut down Casper operations; credit agreement Event of Default (permit revocation).</t>
        </is>
      </c>
      <c r="I15" s="23" t="inlineStr">
        <is>
          <t>Obtain written Wyoming DEQ confirmation of renewal status and timeline. Make renewal a closing condition.</t>
        </is>
      </c>
      <c r="J15" s="23" t="inlineStr">
        <is>
          <t>Closing condition: Wyoming permit renewal; rep/warranty on permit status; specific indemnity</t>
        </is>
      </c>
      <c r="K15" s="24" t="inlineStr">
        <is>
          <t>Unresolved</t>
        </is>
      </c>
      <c r="L15" s="26" t="inlineStr">
        <is>
          <t>Pre-SPA</t>
        </is>
      </c>
    </row>
    <row r="16" ht="65" customHeight="1">
      <c r="A16" s="22" t="inlineStr">
        <is>
          <t>RF-14</t>
        </is>
      </c>
      <c r="B16" s="23" t="inlineStr">
        <is>
          <t>Regulatory</t>
        </is>
      </c>
      <c r="C16" s="23" t="inlineStr">
        <is>
          <t>Utah SLC permit UTH-0441 transfer pending since Apr 2022 (2.5 yrs); Sycamore acquisition = second CoC event</t>
        </is>
      </c>
      <c r="D16" s="27" t="inlineStr">
        <is>
          <t>HIGH</t>
        </is>
      </c>
      <c r="E16" s="23" t="inlineStr">
        <is>
          <t>$16.2M revenue at risk (12.7% of total)</t>
        </is>
      </c>
      <c r="F16" s="25" t="inlineStr">
        <is>
          <t>Environmental Permit Schedule §2.2; Litigation Summary §III.C; Real Property Schedule §4.1</t>
        </is>
      </c>
      <c r="G16" s="23" t="inlineStr">
        <is>
          <t>Facility operated under Pinnacle's permit. Utah Admin Code R315-3 requires Division approval for ownership changes. Proposed transaction layers second CoC on unresolved first transfer.</t>
        </is>
      </c>
      <c r="H16" s="23" t="inlineStr">
        <is>
          <t>Operating without proper permit transfer may constitute regulatory violation; second CoC could jeopardize permit.</t>
        </is>
      </c>
      <c r="I16" s="23" t="inlineStr">
        <is>
          <t>Require Utah permit transfer completion as closing condition. Engage Utah Division of Waste Management.</t>
        </is>
      </c>
      <c r="J16" s="23" t="inlineStr">
        <is>
          <t>Hard closing condition: Utah permit transfer; rep/warranty on permit compliance</t>
        </is>
      </c>
      <c r="K16" s="24" t="inlineStr">
        <is>
          <t>Unresolved</t>
        </is>
      </c>
      <c r="L16" s="26" t="inlineStr">
        <is>
          <t>Immediate</t>
        </is>
      </c>
    </row>
    <row r="17" ht="65" customHeight="1">
      <c r="A17" s="22" t="inlineStr">
        <is>
          <t>RF-15</t>
        </is>
      </c>
      <c r="B17" s="23" t="inlineStr">
        <is>
          <t>Debt &amp; Closing</t>
        </is>
      </c>
      <c r="C17" s="23" t="inlineStr">
        <is>
          <t>Credit agreement CoC: mandatory prepayment of ~$39.2M within 5 business days of closing; no waiver mechanism</t>
        </is>
      </c>
      <c r="D17" s="24" t="inlineStr">
        <is>
          <t>CRITICAL</t>
        </is>
      </c>
      <c r="E17" s="23" t="inlineStr">
        <is>
          <t>$39.2M cash required at closing</t>
        </is>
      </c>
      <c r="F17" s="25" t="inlineStr">
        <is>
          <t>Credit Agreement Summary §8–9</t>
        </is>
      </c>
      <c r="G17" s="23" t="inlineStr">
        <is>
          <t>Triggers: 100% stock acquisition by Sycamore. Prepayment: $12.4M revolver + $26.3M term loan + $263K premium + accrued interest. No consent/waiver mechanism in credit agreement.</t>
        </is>
      </c>
      <c r="H17" s="23" t="inlineStr">
        <is>
          <t>Acquisition financing must include sufficient proceeds to repay credit facility; tight 5-day window.</t>
        </is>
      </c>
      <c r="I17" s="23" t="inlineStr">
        <is>
          <t>Arrange acquisition financing with credit facility repayment. Obtain payoff letter from High Plains National Bank well in advance.</t>
        </is>
      </c>
      <c r="J17" s="23" t="inlineStr">
        <is>
          <t>Net Debt adjustment includes full payoff amount + prepayment premium; closing condition: credit facility repaid</t>
        </is>
      </c>
      <c r="K17" s="27" t="inlineStr">
        <is>
          <t>Known — plan required</t>
        </is>
      </c>
      <c r="L17" s="26" t="inlineStr">
        <is>
          <t>Pre-Closing</t>
        </is>
      </c>
    </row>
    <row r="18" ht="65" customHeight="1">
      <c r="A18" s="22" t="inlineStr">
        <is>
          <t>RF-16</t>
        </is>
      </c>
      <c r="B18" s="23" t="inlineStr">
        <is>
          <t>Debt &amp; Closing</t>
        </is>
      </c>
      <c r="C18" s="23" t="inlineStr">
        <is>
          <t>Bank EBITDA definition excludes all $5.4M of management add-backs; bank leverage = 2.10x vs. 1.70x stated in CIM</t>
        </is>
      </c>
      <c r="D18" s="24" t="inlineStr">
        <is>
          <t>CRITICAL</t>
        </is>
      </c>
      <c r="E18" s="23" t="inlineStr">
        <is>
          <t>Financing underwriting risk</t>
        </is>
      </c>
      <c r="F18" s="25" t="inlineStr">
        <is>
          <t>Credit Agreement Summary §4</t>
        </is>
      </c>
      <c r="G18" s="23" t="inlineStr">
        <is>
          <t>Bank Consolidated EBITDA caps non-recurring add-backs at $500K/yr. All five management add-back categories expressly excluded. True bank leverage = $38.7M / $18.4M = 2.10x.</t>
        </is>
      </c>
      <c r="H18" s="23" t="inlineStr">
        <is>
          <t>Acquisition lender will underwrite on bank-definition EBITDA; financing capacity may be lower than expected.</t>
        </is>
      </c>
      <c r="I18" s="23" t="inlineStr">
        <is>
          <t>Ensure acquisition financing underwritten on bank-definition EBITDA. Confirm covenant compliance through closing.</t>
        </is>
      </c>
      <c r="J18" s="23" t="inlineStr">
        <is>
          <t>Financing condition in SPA; rep/warranty on bank covenant compliance</t>
        </is>
      </c>
      <c r="K18" s="24" t="inlineStr">
        <is>
          <t>Unresolved</t>
        </is>
      </c>
      <c r="L18" s="26" t="inlineStr">
        <is>
          <t>Pre-SPA</t>
        </is>
      </c>
    </row>
    <row r="19" ht="65" customHeight="1">
      <c r="A19" s="22" t="inlineStr">
        <is>
          <t>RF-17</t>
        </is>
      </c>
      <c r="B19" s="23" t="inlineStr">
        <is>
          <t>Debt &amp; Closing</t>
        </is>
      </c>
      <c r="C19" s="23" t="inlineStr">
        <is>
          <t>Single-trigger CoC severance: Calloway brothers owe $2.625M at closing regardless of employment; total $3.775M</t>
        </is>
      </c>
      <c r="D19" s="24" t="inlineStr">
        <is>
          <t>CRITICAL</t>
        </is>
      </c>
      <c r="E19" s="23" t="inlineStr">
        <is>
          <t>$2.625M–$3.775M at closing</t>
        </is>
      </c>
      <c r="F19" s="25" t="inlineStr">
        <is>
          <t>Employment Agreements Summary §8; QoE Executive Compensation tab</t>
        </is>
      </c>
      <c r="G19" s="23" t="inlineStr">
        <is>
          <t>Derek and Jason Calloway: $1.3125M each, payable within 30 days of closing, single-trigger. CFO/VP Ops/VP BD: $1.15M combined, double-trigger. LOI silent on Transaction Expense treatment.</t>
        </is>
      </c>
      <c r="H19" s="23" t="inlineStr">
        <is>
          <t>Certain $2.625M cash outflow at closing; total $3.775M if double-trigger executives also triggered.</t>
        </is>
      </c>
      <c r="I19" s="23" t="inlineStr">
        <is>
          <t>Negotiate conversion of single-trigger to double-trigger. Confirm SPA treatment as Transaction Expense.</t>
        </is>
      </c>
      <c r="J19" s="23" t="inlineStr">
        <is>
          <t>Transaction Expense definition to include CoC severance; rep/warranty on employment agreements</t>
        </is>
      </c>
      <c r="K19" s="24" t="inlineStr">
        <is>
          <t>Unresolved</t>
        </is>
      </c>
      <c r="L19" s="26" t="inlineStr">
        <is>
          <t>Pre-SPA</t>
        </is>
      </c>
    </row>
    <row r="20" ht="65" customHeight="1">
      <c r="A20" s="22" t="inlineStr">
        <is>
          <t>RF-18</t>
        </is>
      </c>
      <c r="B20" s="23" t="inlineStr">
        <is>
          <t>Labor &amp; HR</t>
        </is>
      </c>
      <c r="C20" s="23" t="inlineStr">
        <is>
          <t>NLRB unionization petition filed Nov 4, 2024 by Teamsters Local 455 covering 62 field technicians (GJ + Casper)</t>
        </is>
      </c>
      <c r="D20" s="27" t="inlineStr">
        <is>
          <t>HIGH</t>
        </is>
      </c>
      <c r="E20" s="23" t="inlineStr">
        <is>
          <t>Labor cost escalation risk; potential credit agreement Event of Default</t>
        </is>
      </c>
      <c r="F20" s="25" t="inlineStr">
        <is>
          <t>Employee Benefits Summary §7 (footnote); CIM §VII.A</t>
        </is>
      </c>
      <c r="G20" s="23" t="inlineStr">
        <is>
          <t>Disclosed only in a footnote. CIM states workforce is 'entirely non-unionized.' Credit agreement: labor dispute &gt;10 business days = Event of Default. 62 technicians = ~13% of workforce.</t>
        </is>
      </c>
      <c r="H20" s="23" t="inlineStr">
        <is>
          <t>Successful union election could increase labor costs, reduce flexibility, and trigger credit agreement default.</t>
        </is>
      </c>
      <c r="I20" s="23" t="inlineStr">
        <is>
          <t>Obtain full briefing from management and labor counsel. Assess likelihood of successful election. Evaluate MAC implications.</t>
        </is>
      </c>
      <c r="J20" s="23" t="inlineStr">
        <is>
          <t>Rep/warranty on labor relations; MAC definition to include material labor dispute; specific NLRB indemnity</t>
        </is>
      </c>
      <c r="K20" s="24" t="inlineStr">
        <is>
          <t>Unresolved</t>
        </is>
      </c>
      <c r="L20" s="26" t="inlineStr">
        <is>
          <t>Pre-SPA</t>
        </is>
      </c>
    </row>
    <row r="21" ht="65" customHeight="1">
      <c r="A21" s="22" t="inlineStr">
        <is>
          <t>RF-19</t>
        </is>
      </c>
      <c r="B21" s="23" t="inlineStr">
        <is>
          <t>Labor &amp; HR</t>
        </is>
      </c>
      <c r="C21" s="23" t="inlineStr">
        <is>
          <t>FLSA wage claim: 8 former asbestos employees; $330K claimed ($165K wages + $165K liquidated damages)</t>
        </is>
      </c>
      <c r="D21" s="28" t="inlineStr">
        <is>
          <t>MEDIUM</t>
        </is>
      </c>
      <c r="E21" s="23" t="inlineStr">
        <is>
          <t>$100K–$330K</t>
        </is>
      </c>
      <c r="F21" s="25" t="inlineStr">
        <is>
          <t>Litigation Summary §V.A; Employee Benefits Summary §8</t>
        </is>
      </c>
      <c r="G21" s="23" t="inlineStr">
        <is>
          <t>Demand letter Oct 2024; no lawsuit filed. Management estimates $100–200K exposure. No accrual. Motor carrier exemption defense asserted.</t>
        </is>
      </c>
      <c r="H21" s="23" t="inlineStr">
        <is>
          <t>Wage/hour compliance risk across broader field workforce; potential class action expansion.</t>
        </is>
      </c>
      <c r="I21" s="23" t="inlineStr">
        <is>
          <t>Full wage/hour compliance review across all field personnel. Require accrual in closing balance sheet.</t>
        </is>
      </c>
      <c r="J21" s="23" t="inlineStr">
        <is>
          <t>Rep/warranty on wage/hour compliance; indemnity for pre-closing wage claims</t>
        </is>
      </c>
      <c r="K21" s="24" t="inlineStr">
        <is>
          <t>Unresolved</t>
        </is>
      </c>
      <c r="L21" s="26" t="inlineStr">
        <is>
          <t>Pre-SPA</t>
        </is>
      </c>
    </row>
    <row r="22" ht="65" customHeight="1">
      <c r="A22" s="22" t="inlineStr">
        <is>
          <t>RF-20</t>
        </is>
      </c>
      <c r="B22" s="23" t="inlineStr">
        <is>
          <t>Real Property</t>
        </is>
      </c>
      <c r="C22" s="23" t="inlineStr">
        <is>
          <t>SLC lease: dual assignment default (Pinnacle to RES unresolved 2.5 yrs); landlord inquiry Nov 2024; Sycamore = 2nd CoC</t>
        </is>
      </c>
      <c r="D22" s="27" t="inlineStr">
        <is>
          <t>HIGH</t>
        </is>
      </c>
      <c r="E22" s="23" t="inlineStr">
        <is>
          <t>$16.2M revenue at risk (12.7% of total)</t>
        </is>
      </c>
      <c r="F22" s="25" t="inlineStr">
        <is>
          <t>Real Property Schedule §4.1, §6; Litigation Summary §V.B</t>
        </is>
      </c>
      <c r="G22" s="23" t="inlineStr">
        <is>
          <t>Consent requested Apr 12, 2022; no written response. Landlord Nov 2024 inquiry references consent clause. Lease explicitly defines CoC as assignment requiring consent.</t>
        </is>
      </c>
      <c r="H22" s="23" t="inlineStr">
        <is>
          <t>Landlord could declare default, terminate lease, or refuse consent to Sycamore acquisition; loss of facility = $16.2M revenue impact.</t>
        </is>
      </c>
      <c r="I22" s="23" t="inlineStr">
        <is>
          <t>Engage Wasatch Industrial Properties immediately. Make landlord consent a hard closing condition.</t>
        </is>
      </c>
      <c r="J22" s="23" t="inlineStr">
        <is>
          <t>Hard closing condition: SLC landlord consent; rep/warranty on lease compliance; specific lease indemnity</t>
        </is>
      </c>
      <c r="K22" s="24" t="inlineStr">
        <is>
          <t>Unresolved</t>
        </is>
      </c>
      <c r="L22" s="26" t="inlineStr">
        <is>
          <t>Immediate</t>
        </is>
      </c>
    </row>
    <row r="23" ht="65" customHeight="1">
      <c r="A23" s="22" t="inlineStr">
        <is>
          <t>RF-21</t>
        </is>
      </c>
      <c r="B23" s="23" t="inlineStr">
        <is>
          <t>Insurance</t>
        </is>
      </c>
      <c r="C23" s="23" t="inlineStr">
        <is>
          <t>Claims-made PLL policy: tail coverage risk at CoC; Ramirez claim ($4.8M) under reservation of rights</t>
        </is>
      </c>
      <c r="D23" s="28" t="inlineStr">
        <is>
          <t>MEDIUM</t>
        </is>
      </c>
      <c r="E23" s="23" t="inlineStr">
        <is>
          <t>Pollution claims uninsured post-closing; Ramirez coverage uncertain</t>
        </is>
      </c>
      <c r="F23" s="25" t="inlineStr">
        <is>
          <t>Insurance Program Summary §4, §7, §8</t>
        </is>
      </c>
      <c r="G23" s="23" t="inlineStr">
        <is>
          <t>PLL is claims-made; CoC may affect post-closing claim reporting. Tail available at 150% of premium for 36 months. Ramirez personal injury claim tendered under CGL and PLL; insurer issued reservation of rights Sep 19, 2024.</t>
        </is>
      </c>
      <c r="H23" s="23" t="inlineStr">
        <is>
          <t>Post-closing pollution claims from pre-closing operations may be uninsurable without tail; Ramirez coverage uncertain.</t>
        </is>
      </c>
      <c r="I23" s="23" t="inlineStr">
        <is>
          <t>Require PLL tail coverage at closing (cost = Transaction Expense). Obtain Ramirez coverage determination before closing.</t>
        </is>
      </c>
      <c r="J23" s="23" t="inlineStr">
        <is>
          <t>Closing deliverable: PLL tail policy; rep/warranty on insurance; Ramirez indemnity if coverage denied</t>
        </is>
      </c>
      <c r="K23" s="24" t="inlineStr">
        <is>
          <t>Unresolved</t>
        </is>
      </c>
      <c r="L23" s="26" t="inlineStr">
        <is>
          <t>Pre-Closing</t>
        </is>
      </c>
    </row>
  </sheetData>
  <autoFilter ref="A2:L23"/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6" customWidth="1" min="4" max="4"/>
    <col width="22" customWidth="1" min="5" max="5"/>
    <col width="16" customWidth="1" min="6" max="6"/>
    <col width="26" customWidth="1" min="7" max="7"/>
    <col width="14" customWidth="1" min="8" max="8"/>
  </cols>
  <sheetData>
    <row r="1" ht="26" customHeight="1">
      <c r="A1" s="20" t="inlineStr">
        <is>
          <t>FINANCIAL QUALITY &amp; EBITDA INTEGRITY — DETAILED ANALYSIS</t>
        </is>
      </c>
    </row>
    <row r="3" ht="20" customHeight="1">
      <c r="A3" s="29" t="inlineStr">
        <is>
          <t>EBITDA BRIDGE — MANAGEMENT vs. BANK vs. QoE</t>
        </is>
      </c>
    </row>
    <row r="4" ht="32" customHeight="1">
      <c r="A4" s="30" t="inlineStr">
        <is>
          <t>Item</t>
        </is>
      </c>
      <c r="B4" s="30" t="inlineStr">
        <is>
          <t>FY2022 ($K)</t>
        </is>
      </c>
      <c r="C4" s="30" t="inlineStr">
        <is>
          <t>FY2023 ($K)</t>
        </is>
      </c>
      <c r="D4" s="30" t="inlineStr">
        <is>
          <t>FY2024 TTM ($K)</t>
        </is>
      </c>
      <c r="E4" s="30" t="inlineStr">
        <is>
          <t>Mgmt Classification</t>
        </is>
      </c>
      <c r="F4" s="30" t="inlineStr">
        <is>
          <t>Bank Permitted?</t>
        </is>
      </c>
      <c r="G4" s="30" t="inlineStr">
        <is>
          <t>QoE Assessment</t>
        </is>
      </c>
      <c r="H4" s="30" t="inlineStr">
        <is>
          <t>Red Flag</t>
        </is>
      </c>
    </row>
    <row r="5" ht="28" customHeight="1">
      <c r="A5" s="31" t="inlineStr">
        <is>
          <t>Reported EBITDA (per management)</t>
        </is>
      </c>
      <c r="B5" s="32" t="n">
        <v>21025</v>
      </c>
      <c r="C5" s="32" t="n">
        <v>25212</v>
      </c>
      <c r="D5" s="32" t="n">
        <v>18400</v>
      </c>
      <c r="E5" s="31" t="inlineStr">
        <is>
          <t>—</t>
        </is>
      </c>
      <c r="F5" s="31" t="inlineStr">
        <is>
          <t>Yes</t>
        </is>
      </c>
      <c r="G5" s="31" t="inlineStr">
        <is>
          <t>Starting point; consistent across documents</t>
        </is>
      </c>
      <c r="H5" s="31" t="inlineStr">
        <is>
          <t>RF-03: 27% YoY decline</t>
        </is>
      </c>
    </row>
    <row r="6" ht="28" customHeight="1">
      <c r="A6" s="31" t="inlineStr">
        <is>
          <t>+ Litigation Settlement</t>
        </is>
      </c>
      <c r="B6" s="32" t="n">
        <v>0</v>
      </c>
      <c r="C6" s="32" t="n">
        <v>0</v>
      </c>
      <c r="D6" s="32" t="n">
        <v>1200</v>
      </c>
      <c r="E6" s="31" t="inlineStr">
        <is>
          <t>Non-Recurring</t>
        </is>
      </c>
      <c r="F6" s="31" t="inlineStr">
        <is>
          <t>No (exceeds $500K cap)</t>
        </is>
      </c>
      <c r="G6" s="31" t="inlineStr">
        <is>
          <t>Clearwater Logistics settlement (received); QoE workbook mislabels as Harper</t>
        </is>
      </c>
      <c r="H6" s="31" t="inlineStr">
        <is>
          <t>RF-02: Description inconsistency</t>
        </is>
      </c>
    </row>
    <row r="7" ht="28" customHeight="1">
      <c r="A7" s="31" t="inlineStr">
        <is>
          <t>+ Owner Comp Normalization</t>
        </is>
      </c>
      <c r="B7" s="32" t="n">
        <v>950</v>
      </c>
      <c r="C7" s="32" t="n">
        <v>950</v>
      </c>
      <c r="D7" s="32" t="n">
        <v>950</v>
      </c>
      <c r="E7" s="31" t="inlineStr">
        <is>
          <t>Run-Rate Normalization</t>
        </is>
      </c>
      <c r="F7" s="31" t="inlineStr">
        <is>
          <t>No (expressly excluded)</t>
        </is>
      </c>
      <c r="G7" s="31" t="inlineStr">
        <is>
          <t>Valid if Calloways retained at market; invalid if they depart post-closing</t>
        </is>
      </c>
      <c r="H7" s="31" t="inlineStr">
        <is>
          <t>RF-02: Contingent on retention</t>
        </is>
      </c>
    </row>
    <row r="8" ht="28" customHeight="1">
      <c r="A8" s="31" t="inlineStr">
        <is>
          <t>+ ERP Implementation Costs</t>
        </is>
      </c>
      <c r="B8" s="32" t="n">
        <v>0</v>
      </c>
      <c r="C8" s="32" t="n">
        <v>385</v>
      </c>
      <c r="D8" s="32" t="n">
        <v>650</v>
      </c>
      <c r="E8" s="31" t="inlineStr">
        <is>
          <t>Non-Recurring</t>
        </is>
      </c>
      <c r="F8" s="31" t="inlineStr">
        <is>
          <t>No (expressly excluded)</t>
        </is>
      </c>
      <c r="G8" s="31" t="inlineStr">
        <is>
          <t>Phase 2 ongoing into FY2025 — may not be fully non-recurring</t>
        </is>
      </c>
      <c r="H8" s="31" t="inlineStr">
        <is>
          <t>RF-02: Recurring risk</t>
        </is>
      </c>
    </row>
    <row r="9" ht="28" customHeight="1">
      <c r="A9" s="31" t="inlineStr">
        <is>
          <t>+ Pinnacle Integration Costs</t>
        </is>
      </c>
      <c r="B9" s="32" t="n">
        <v>1240</v>
      </c>
      <c r="C9" s="32" t="n">
        <v>620</v>
      </c>
      <c r="D9" s="32" t="n">
        <v>800</v>
      </c>
      <c r="E9" s="31" t="inlineStr">
        <is>
          <t>Non-Recurring</t>
        </is>
      </c>
      <c r="F9" s="31" t="inlineStr">
        <is>
          <t>No (expressly excluded)</t>
        </is>
      </c>
      <c r="G9" s="31" t="inlineStr">
        <is>
          <t>2+ years post-acquisition; recurring classification questionable</t>
        </is>
      </c>
      <c r="H9" s="31" t="inlineStr">
        <is>
          <t>RF-02: Recurring risk</t>
        </is>
      </c>
    </row>
    <row r="10" ht="28" customHeight="1">
      <c r="A10" s="31" t="inlineStr">
        <is>
          <t>+ Asbestos Wind-Down Costs</t>
        </is>
      </c>
      <c r="B10" s="32" t="n">
        <v>0</v>
      </c>
      <c r="C10" s="32" t="n">
        <v>920</v>
      </c>
      <c r="D10" s="32" t="n">
        <v>1800</v>
      </c>
      <c r="E10" s="31" t="inlineStr">
        <is>
          <t>Non-Recurring</t>
        </is>
      </c>
      <c r="F10" s="31" t="inlineStr">
        <is>
          <t>No (expressly excluded)</t>
        </is>
      </c>
      <c r="G10" s="31" t="inlineStr">
        <is>
          <t>One-time; service line fully discontinued</t>
        </is>
      </c>
      <c r="H10" s="31" t="inlineStr">
        <is>
          <t>Supportable</t>
        </is>
      </c>
    </row>
    <row r="11" ht="28" customHeight="1">
      <c r="A11" s="24">
        <f> Management Adjusted EBITDA (QoE workbook)</f>
        <v/>
      </c>
      <c r="B11" s="33" t="n">
        <v>23215</v>
      </c>
      <c r="C11" s="33" t="n">
        <v>28087</v>
      </c>
      <c r="D11" s="33" t="n">
        <v>23800</v>
      </c>
      <c r="E11" s="24" t="inlineStr">
        <is>
          <t>—</t>
        </is>
      </c>
      <c r="F11" s="24" t="inlineStr">
        <is>
          <t>—</t>
        </is>
      </c>
      <c r="G11" s="24" t="inlineStr">
        <is>
          <t>QoE workbook figure — $1.0M above CIM</t>
        </is>
      </c>
      <c r="H11" s="24" t="inlineStr">
        <is>
          <t>RF-01: CRITICAL</t>
        </is>
      </c>
    </row>
    <row r="12" ht="28" customHeight="1">
      <c r="A12" s="24">
        <f> Management Adjusted EBITDA (CIM)</f>
        <v/>
      </c>
      <c r="B12" s="33" t="inlineStr">
        <is>
          <t>—</t>
        </is>
      </c>
      <c r="C12" s="33" t="inlineStr">
        <is>
          <t>—</t>
        </is>
      </c>
      <c r="D12" s="33" t="n">
        <v>22800</v>
      </c>
      <c r="E12" s="24" t="inlineStr">
        <is>
          <t>—</t>
        </is>
      </c>
      <c r="F12" s="24" t="inlineStr">
        <is>
          <t>—</t>
        </is>
      </c>
      <c r="G12" s="24" t="inlineStr">
        <is>
          <t>CIM figure — $1.0M gap vs. QoE unreconciled</t>
        </is>
      </c>
      <c r="H12" s="24" t="inlineStr">
        <is>
          <t>RF-01: CRITICAL</t>
        </is>
      </c>
    </row>
    <row r="13" ht="28" customHeight="1">
      <c r="A13" s="34">
        <f> Bank Consolidated EBITDA</f>
        <v/>
      </c>
      <c r="B13" s="35" t="inlineStr">
        <is>
          <t>—</t>
        </is>
      </c>
      <c r="C13" s="35" t="inlineStr">
        <is>
          <t>—</t>
        </is>
      </c>
      <c r="D13" s="35" t="n">
        <v>18400</v>
      </c>
      <c r="E13" s="34" t="inlineStr">
        <is>
          <t>—</t>
        </is>
      </c>
      <c r="F13" s="34" t="inlineStr">
        <is>
          <t>—</t>
        </is>
      </c>
      <c r="G13" s="34" t="inlineStr">
        <is>
          <t>Only reported EBITDA + up to $500K non-recurring</t>
        </is>
      </c>
      <c r="H13" s="34" t="inlineStr">
        <is>
          <t>RF-16: Financing risk</t>
        </is>
      </c>
    </row>
    <row r="14" ht="28" customHeight="1">
      <c r="A14" s="34" t="inlineStr">
        <is>
          <t>Bank Leverage (Total Debt / Bank EBITDA)</t>
        </is>
      </c>
      <c r="B14" s="35" t="inlineStr">
        <is>
          <t>—</t>
        </is>
      </c>
      <c r="C14" s="35" t="inlineStr">
        <is>
          <t>—</t>
        </is>
      </c>
      <c r="D14" s="35" t="inlineStr">
        <is>
          <t>2.10x</t>
        </is>
      </c>
      <c r="E14" s="34" t="inlineStr">
        <is>
          <t>—</t>
        </is>
      </c>
      <c r="F14" s="34" t="inlineStr">
        <is>
          <t>—</t>
        </is>
      </c>
      <c r="G14" s="34" t="inlineStr">
        <is>
          <t>$38.7M / $18.4M — used for covenant compliance</t>
        </is>
      </c>
      <c r="H14" s="34" t="inlineStr">
        <is>
          <t>RF-16</t>
        </is>
      </c>
    </row>
    <row r="15" ht="28" customHeight="1">
      <c r="A15" s="34" t="inlineStr">
        <is>
          <t>Management Leverage (Total Debt / Adj. EBITDA)</t>
        </is>
      </c>
      <c r="B15" s="35" t="inlineStr">
        <is>
          <t>—</t>
        </is>
      </c>
      <c r="C15" s="35" t="inlineStr">
        <is>
          <t>—</t>
        </is>
      </c>
      <c r="D15" s="35" t="inlineStr">
        <is>
          <t>1.70x</t>
        </is>
      </c>
      <c r="E15" s="34" t="inlineStr">
        <is>
          <t>—</t>
        </is>
      </c>
      <c r="F15" s="34" t="inlineStr">
        <is>
          <t>—</t>
        </is>
      </c>
      <c r="G15" s="34" t="inlineStr">
        <is>
          <t>$38.7M / $22.8M — NOT used for covenant compliance</t>
        </is>
      </c>
      <c r="H15" s="34" t="inlineStr">
        <is>
          <t>RF-16</t>
        </is>
      </c>
    </row>
    <row r="16" ht="28" customHeight="1">
      <c r="A16" s="34" t="inlineStr">
        <is>
          <t>Implied EV at 8.0x (Bank EBITDA)</t>
        </is>
      </c>
      <c r="B16" s="35" t="inlineStr">
        <is>
          <t>—</t>
        </is>
      </c>
      <c r="C16" s="35" t="inlineStr">
        <is>
          <t>—</t>
        </is>
      </c>
      <c r="D16" s="35" t="inlineStr">
        <is>
          <t>$147.2M</t>
        </is>
      </c>
      <c r="E16" s="34" t="inlineStr">
        <is>
          <t>—</t>
        </is>
      </c>
      <c r="F16" s="34" t="inlineStr">
        <is>
          <t>—</t>
        </is>
      </c>
      <c r="G16" s="34" t="inlineStr">
        <is>
          <t>8.0x × $18.4M — vs. $182M LOI floor</t>
        </is>
      </c>
      <c r="H16" s="34" t="inlineStr">
        <is>
          <t>RF-01, RF-16</t>
        </is>
      </c>
    </row>
    <row r="17" ht="28" customHeight="1">
      <c r="A17" s="34" t="inlineStr">
        <is>
          <t>Implied EV at 8.0x (Mgmt Adj. EBITDA)</t>
        </is>
      </c>
      <c r="B17" s="35" t="inlineStr">
        <is>
          <t>—</t>
        </is>
      </c>
      <c r="C17" s="35" t="inlineStr">
        <is>
          <t>—</t>
        </is>
      </c>
      <c r="D17" s="35" t="inlineStr">
        <is>
          <t>$182.4M</t>
        </is>
      </c>
      <c r="E17" s="34" t="inlineStr">
        <is>
          <t>—</t>
        </is>
      </c>
      <c r="F17" s="34" t="inlineStr">
        <is>
          <t>—</t>
        </is>
      </c>
      <c r="G17" s="34" t="inlineStr">
        <is>
          <t>8.0x × $22.8M — LOI floor</t>
        </is>
      </c>
      <c r="H17" s="34" t="inlineStr">
        <is>
          <t>RF-01</t>
        </is>
      </c>
    </row>
    <row r="19" ht="20" customHeight="1">
      <c r="A19" s="29" t="inlineStr">
        <is>
          <t>CAPEX ANALYSIS — MANAGEMENT STATED vs. ACTUAL vs. NORMALIZED</t>
        </is>
      </c>
    </row>
    <row r="20" ht="32" customHeight="1">
      <c r="A20" s="30" t="inlineStr">
        <is>
          <t>Capex Category</t>
        </is>
      </c>
      <c r="B20" s="30" t="inlineStr">
        <is>
          <t>FY2020 ($K)</t>
        </is>
      </c>
      <c r="C20" s="30" t="inlineStr">
        <is>
          <t>FY2021 ($K)</t>
        </is>
      </c>
      <c r="D20" s="30" t="inlineStr">
        <is>
          <t>FY2022 ($K)</t>
        </is>
      </c>
      <c r="E20" s="30" t="inlineStr">
        <is>
          <t>FY2023 ($K)</t>
        </is>
      </c>
      <c r="F20" s="30" t="inlineStr">
        <is>
          <t>FY2024 ($K)</t>
        </is>
      </c>
      <c r="G20" s="30" t="inlineStr">
        <is>
          <t>5-Yr Avg ($K)</t>
        </is>
      </c>
      <c r="H20" s="30" t="inlineStr">
        <is>
          <t>Notes</t>
        </is>
      </c>
    </row>
    <row r="21" ht="22" customHeight="1">
      <c r="A21" s="31" t="inlineStr">
        <is>
          <t>Maintenance Capex (Actual)</t>
        </is>
      </c>
      <c r="B21" s="32" t="inlineStr">
        <is>
          <t>—</t>
        </is>
      </c>
      <c r="C21" s="32" t="n">
        <v>3900</v>
      </c>
      <c r="D21" s="32" t="n">
        <v>4000</v>
      </c>
      <c r="E21" s="32" t="n">
        <v>3550</v>
      </c>
      <c r="F21" s="32" t="n">
        <v>5300</v>
      </c>
      <c r="G21" s="32" t="n">
        <v>4270</v>
      </c>
      <c r="H21" s="31" t="inlineStr">
        <is>
          <t>Per QoE workbook; dipped FY2022–23 during Pinnacle integration</t>
        </is>
      </c>
    </row>
    <row r="22" ht="22" customHeight="1">
      <c r="A22" s="31" t="inlineStr">
        <is>
          <t>Growth Capex (Actual)</t>
        </is>
      </c>
      <c r="B22" s="32" t="inlineStr">
        <is>
          <t>—</t>
        </is>
      </c>
      <c r="C22" s="32" t="n">
        <v>800</v>
      </c>
      <c r="D22" s="32" t="n">
        <v>5400</v>
      </c>
      <c r="E22" s="32" t="n">
        <v>5500</v>
      </c>
      <c r="F22" s="32" t="n">
        <v>4500</v>
      </c>
      <c r="G22" s="32" t="n">
        <v>3940</v>
      </c>
      <c r="H22" s="31" t="inlineStr">
        <is>
          <t>Per QoE workbook</t>
        </is>
      </c>
    </row>
    <row r="23" ht="22" customHeight="1">
      <c r="A23" s="31" t="inlineStr">
        <is>
          <t>Total Capex (Actual)</t>
        </is>
      </c>
      <c r="B23" s="32" t="inlineStr">
        <is>
          <t>—</t>
        </is>
      </c>
      <c r="C23" s="32" t="n">
        <v>4700</v>
      </c>
      <c r="D23" s="32" t="n">
        <v>9400</v>
      </c>
      <c r="E23" s="32" t="n">
        <v>9050</v>
      </c>
      <c r="F23" s="32" t="n">
        <v>9800</v>
      </c>
      <c r="G23" s="32" t="n">
        <v>8210</v>
      </c>
      <c r="H23" s="31" t="inlineStr">
        <is>
          <t>Per QoE workbook; 7.7% of revenue</t>
        </is>
      </c>
    </row>
    <row r="24" ht="22" customHeight="1">
      <c r="A24" s="31" t="inlineStr">
        <is>
          <t>Management Normalized Maint. Capex</t>
        </is>
      </c>
      <c r="B24" s="32" t="inlineStr">
        <is>
          <t>—</t>
        </is>
      </c>
      <c r="C24" s="32" t="inlineStr">
        <is>
          <t>—</t>
        </is>
      </c>
      <c r="D24" s="32" t="inlineStr">
        <is>
          <t>—</t>
        </is>
      </c>
      <c r="E24" s="32" t="inlineStr">
        <is>
          <t>—</t>
        </is>
      </c>
      <c r="F24" s="32" t="inlineStr">
        <is>
          <t>—</t>
        </is>
      </c>
      <c r="G24" s="32" t="inlineStr">
        <is>
          <t>4,000–4,500</t>
        </is>
      </c>
      <c r="H24" s="31" t="inlineStr">
        <is>
          <t>Management estimate — used in CIM FCF presentation</t>
        </is>
      </c>
    </row>
    <row r="25" ht="22" customHeight="1">
      <c r="A25" s="31" t="inlineStr">
        <is>
          <t>Fleet Replacement Backlog (38 past-life units)</t>
        </is>
      </c>
      <c r="B25" s="32" t="inlineStr">
        <is>
          <t>—</t>
        </is>
      </c>
      <c r="C25" s="32" t="inlineStr">
        <is>
          <t>—</t>
        </is>
      </c>
      <c r="D25" s="32" t="inlineStr">
        <is>
          <t>—</t>
        </is>
      </c>
      <c r="E25" s="32" t="inlineStr">
        <is>
          <t>—</t>
        </is>
      </c>
      <c r="F25" s="32" t="inlineStr">
        <is>
          <t>—</t>
        </is>
      </c>
      <c r="G25" s="32" t="inlineStr">
        <is>
          <t>9,800 total</t>
        </is>
      </c>
      <c r="H25" s="31" t="inlineStr">
        <is>
          <t>RF-04: $9.8M replacement cost for past-life units</t>
        </is>
      </c>
    </row>
    <row r="26" ht="22" customHeight="1">
      <c r="A26" s="31" t="inlineStr">
        <is>
          <t>Implied Catch-Up Capex (backlog / 3 yrs)</t>
        </is>
      </c>
      <c r="B26" s="32" t="inlineStr">
        <is>
          <t>—</t>
        </is>
      </c>
      <c r="C26" s="32" t="inlineStr">
        <is>
          <t>—</t>
        </is>
      </c>
      <c r="D26" s="32" t="inlineStr">
        <is>
          <t>—</t>
        </is>
      </c>
      <c r="E26" s="32" t="inlineStr">
        <is>
          <t>—</t>
        </is>
      </c>
      <c r="F26" s="32" t="inlineStr">
        <is>
          <t>—</t>
        </is>
      </c>
      <c r="G26" s="32" t="inlineStr">
        <is>
          <t>~3,300/yr</t>
        </is>
      </c>
      <c r="H26" s="31" t="inlineStr">
        <is>
          <t>RF-04: Incremental above management estimate</t>
        </is>
      </c>
    </row>
    <row r="27" ht="22" customHeight="1">
      <c r="A27" s="36" t="inlineStr">
        <is>
          <t>TRUE Normalized Maint. Capex (est.)</t>
        </is>
      </c>
      <c r="B27" s="37" t="inlineStr">
        <is>
          <t>—</t>
        </is>
      </c>
      <c r="C27" s="37" t="inlineStr">
        <is>
          <t>—</t>
        </is>
      </c>
      <c r="D27" s="37" t="inlineStr">
        <is>
          <t>—</t>
        </is>
      </c>
      <c r="E27" s="37" t="inlineStr">
        <is>
          <t>—</t>
        </is>
      </c>
      <c r="F27" s="37" t="inlineStr">
        <is>
          <t>—</t>
        </is>
      </c>
      <c r="G27" s="37" t="inlineStr">
        <is>
          <t>7,300–7,800</t>
        </is>
      </c>
      <c r="H27" s="36" t="inlineStr">
        <is>
          <t>RF-04: Management estimate + catch-up capex</t>
        </is>
      </c>
    </row>
    <row r="28" ht="22" customHeight="1">
      <c r="A28" s="24" t="inlineStr">
        <is>
          <t>Overstatement vs. Management Estimate</t>
        </is>
      </c>
      <c r="B28" s="33" t="inlineStr">
        <is>
          <t>—</t>
        </is>
      </c>
      <c r="C28" s="33" t="inlineStr">
        <is>
          <t>—</t>
        </is>
      </c>
      <c r="D28" s="33" t="inlineStr">
        <is>
          <t>—</t>
        </is>
      </c>
      <c r="E28" s="33" t="inlineStr">
        <is>
          <t>—</t>
        </is>
      </c>
      <c r="F28" s="33" t="inlineStr">
        <is>
          <t>—</t>
        </is>
      </c>
      <c r="G28" s="33" t="inlineStr">
        <is>
          <t>~3,300/yr</t>
        </is>
      </c>
      <c r="H28" s="24" t="inlineStr">
        <is>
          <t>RF-04: CRITICAL — inflates FCF by ~$3.3M/yr</t>
        </is>
      </c>
    </row>
  </sheetData>
  <mergeCells count="3">
    <mergeCell ref="A3:H3"/>
    <mergeCell ref="A19:H19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32" customWidth="1" min="4" max="4"/>
    <col width="16" customWidth="1" min="5" max="5"/>
    <col width="14" customWidth="1" min="6" max="6"/>
    <col width="12" customWidth="1" min="7" max="7"/>
    <col width="30" customWidth="1" min="8" max="8"/>
    <col width="10" customWidth="1" min="9" max="9"/>
  </cols>
  <sheetData>
    <row r="1" ht="26" customHeight="1">
      <c r="A1" s="20" t="inlineStr">
        <is>
          <t>REVENUE CONCENTRATION &amp; CONTRACT RISK — DETAILED ANALYSIS</t>
        </is>
      </c>
    </row>
    <row r="3" ht="20" customHeight="1">
      <c r="A3" s="29" t="inlineStr">
        <is>
          <t>DOE IDIQ CEILING UTILIZATION ANALYSIS (RF-05, RF-06)</t>
        </is>
      </c>
    </row>
    <row r="4" ht="32" customHeight="1">
      <c r="A4" s="30" t="inlineStr">
        <is>
          <t>Metric</t>
        </is>
      </c>
      <c r="B4" s="30" t="inlineStr">
        <is>
          <t>Value</t>
        </is>
      </c>
      <c r="C4" s="30" t="inlineStr">
        <is>
          <t>Assessment</t>
        </is>
      </c>
      <c r="D4" s="30" t="inlineStr">
        <is>
          <t>Red Flag</t>
        </is>
      </c>
    </row>
    <row r="5" ht="22" customHeight="1">
      <c r="A5" s="31" t="inlineStr">
        <is>
          <t>IDIQ Contract No.</t>
        </is>
      </c>
      <c r="B5" s="31" t="inlineStr">
        <is>
          <t>DE-EM-0005523</t>
        </is>
      </c>
      <c r="C5" s="31" t="inlineStr">
        <is>
          <t>5-year base period; no option periods identified</t>
        </is>
      </c>
      <c r="D5" s="31" t="inlineStr"/>
    </row>
    <row r="6" ht="22" customHeight="1">
      <c r="A6" s="31" t="inlineStr">
        <is>
          <t>Contract Period</t>
        </is>
      </c>
      <c r="B6" s="31" t="inlineStr">
        <is>
          <t>Sep 1, 2021 – Aug 31, 2026</t>
        </is>
      </c>
      <c r="C6" s="31" t="inlineStr">
        <is>
          <t>60 months total</t>
        </is>
      </c>
      <c r="D6" s="31" t="inlineStr"/>
    </row>
    <row r="7" ht="22" customHeight="1">
      <c r="A7" s="31" t="inlineStr">
        <is>
          <t>IDIQ Ceiling Value</t>
        </is>
      </c>
      <c r="B7" s="31" t="inlineStr">
        <is>
          <t>$45,000,000</t>
        </is>
      </c>
      <c r="C7" s="31" t="inlineStr">
        <is>
          <t>Maximum contract value</t>
        </is>
      </c>
      <c r="D7" s="31" t="inlineStr"/>
    </row>
    <row r="8" ht="22" customHeight="1">
      <c r="A8" s="31" t="inlineStr">
        <is>
          <t>Cumulative Ceiling Consumed</t>
        </is>
      </c>
      <c r="B8" s="31" t="inlineStr">
        <is>
          <t>$32,700,000 (72.7%)</t>
        </is>
      </c>
      <c r="C8" s="31" t="inlineStr">
        <is>
          <t>As of TTM cutoff (Sep 30, 2024)</t>
        </is>
      </c>
      <c r="D8" s="31" t="inlineStr">
        <is>
          <t>RF-05</t>
        </is>
      </c>
    </row>
    <row r="9" ht="22" customHeight="1">
      <c r="A9" s="31" t="inlineStr">
        <is>
          <t>Contract Period Elapsed</t>
        </is>
      </c>
      <c r="B9" s="31" t="inlineStr">
        <is>
          <t>37 of 60 months (61.7%)</t>
        </is>
      </c>
      <c r="C9" s="31" t="inlineStr">
        <is>
          <t>Utilization outpacing time by 11.0 percentage points</t>
        </is>
      </c>
      <c r="D9" s="31" t="inlineStr">
        <is>
          <t>RF-05</t>
        </is>
      </c>
    </row>
    <row r="10" ht="22" customHeight="1">
      <c r="A10" s="31" t="inlineStr">
        <is>
          <t>Remaining Ceiling</t>
        </is>
      </c>
      <c r="B10" s="31" t="inlineStr">
        <is>
          <t>$12,300,000</t>
        </is>
      </c>
      <c r="C10" s="31" t="inlineStr">
        <is>
          <t>Available for new task orders</t>
        </is>
      </c>
      <c r="D10" s="31" t="inlineStr">
        <is>
          <t>RF-05</t>
        </is>
      </c>
    </row>
    <row r="11" ht="22" customHeight="1">
      <c r="A11" s="31" t="inlineStr">
        <is>
          <t>FY2024 TTM Revenue from DOE</t>
        </is>
      </c>
      <c r="B11" s="31" t="inlineStr">
        <is>
          <t>$24,400,000 (19.2% of total)</t>
        </is>
      </c>
      <c r="C11" s="31" t="inlineStr">
        <is>
          <t>Largest single customer</t>
        </is>
      </c>
      <c r="D11" s="31" t="inlineStr">
        <is>
          <t>RF-05, RF-06</t>
        </is>
      </c>
    </row>
    <row r="12" ht="22" customHeight="1">
      <c r="A12" s="31" t="inlineStr">
        <is>
          <t>Monthly Run Rate</t>
        </is>
      </c>
      <c r="B12" s="31" t="inlineStr">
        <is>
          <t>~$2,033,333/month</t>
        </is>
      </c>
      <c r="C12" s="31" t="inlineStr">
        <is>
          <t>At current pace</t>
        </is>
      </c>
      <c r="D12" s="31" t="inlineStr">
        <is>
          <t>RF-05</t>
        </is>
      </c>
    </row>
    <row r="13" ht="22" customHeight="1">
      <c r="A13" s="24" t="inlineStr">
        <is>
          <t>Projected Ceiling Exhaustion</t>
        </is>
      </c>
      <c r="B13" s="24" t="inlineStr">
        <is>
          <t>~April–May 2025</t>
        </is>
      </c>
      <c r="C13" s="24" t="inlineStr">
        <is>
          <t>Coincides with target closing date of April 30, 2025</t>
        </is>
      </c>
      <c r="D13" s="24" t="inlineStr">
        <is>
          <t>RF-05: CRITICAL</t>
        </is>
      </c>
    </row>
    <row r="14" ht="22" customHeight="1">
      <c r="A14" s="24" t="inlineStr">
        <is>
          <t>FY2025 Revenue at Risk</t>
        </is>
      </c>
      <c r="B14" s="24" t="inlineStr">
        <is>
          <t>~$12,100,000 headwind</t>
        </is>
      </c>
      <c r="C14" s="24" t="inlineStr">
        <is>
          <t>If ceiling not modified — 50%+ decline in DOE revenue</t>
        </is>
      </c>
      <c r="D14" s="24" t="inlineStr">
        <is>
          <t>RF-05: CRITICAL</t>
        </is>
      </c>
    </row>
    <row r="15" ht="22" customHeight="1">
      <c r="A15" s="24" t="inlineStr">
        <is>
          <t>Contract Assignability</t>
        </is>
      </c>
      <c r="B15" s="24" t="inlineStr">
        <is>
          <t>Non-assignable (Anti-Assignment Act)</t>
        </is>
      </c>
      <c r="C15" s="24" t="inlineStr">
        <is>
          <t>CO approval required for ownership change per FAR 42.12</t>
        </is>
      </c>
      <c r="D15" s="24" t="inlineStr">
        <is>
          <t>RF-06: CRITICAL</t>
        </is>
      </c>
    </row>
    <row r="16" ht="22" customHeight="1">
      <c r="A16" s="24" t="inlineStr">
        <is>
          <t>Novation Requirement</t>
        </is>
      </c>
      <c r="B16" s="24" t="inlineStr">
        <is>
          <t>Likely required per FAR 42.12</t>
        </is>
      </c>
      <c r="C16" s="24" t="inlineStr">
        <is>
          <t>30-day notification per Clause H-12; failure = termination for default</t>
        </is>
      </c>
      <c r="D16" s="24" t="inlineStr">
        <is>
          <t>RF-06: CRITICAL</t>
        </is>
      </c>
    </row>
    <row r="17" ht="22" customHeight="1">
      <c r="A17" s="24" t="inlineStr">
        <is>
          <t>CIM Disclosure</t>
        </is>
      </c>
      <c r="B17" s="24" t="inlineStr">
        <is>
          <t>NOT DISCLOSED in CIM</t>
        </is>
      </c>
      <c r="C17" s="24" t="inlineStr">
        <is>
          <t>Ceiling exhaustion risk not mentioned in CIM §VI.D or §VIII.A</t>
        </is>
      </c>
      <c r="D17" s="24" t="inlineStr">
        <is>
          <t>RF-05: CRITICAL</t>
        </is>
      </c>
    </row>
    <row r="19" ht="20" customHeight="1">
      <c r="A19" s="29" t="inlineStr">
        <is>
          <t>CUSTOMER CONTRACT CHANGE-OF-CONTROL RISK MATRIX (RF-07, RF-08)</t>
        </is>
      </c>
    </row>
    <row r="20" ht="32" customHeight="1">
      <c r="A20" s="30" t="inlineStr">
        <is>
          <t>Customer</t>
        </is>
      </c>
      <c r="B20" s="30" t="inlineStr">
        <is>
          <t>FY2024 Rev ($M)</t>
        </is>
      </c>
      <c r="C20" s="30" t="inlineStr">
        <is>
          <t>% of Revenue</t>
        </is>
      </c>
      <c r="D20" s="30" t="inlineStr">
        <is>
          <t>CoC / Assignment Provision</t>
        </is>
      </c>
      <c r="E20" s="30" t="inlineStr">
        <is>
          <t>Termination Notice</t>
        </is>
      </c>
      <c r="F20" s="30" t="inlineStr">
        <is>
          <t>Min. Volume</t>
        </is>
      </c>
      <c r="G20" s="30" t="inlineStr">
        <is>
          <t>Risk Level</t>
        </is>
      </c>
      <c r="H20" s="30" t="inlineStr">
        <is>
          <t>Action Required</t>
        </is>
      </c>
      <c r="I20" s="30" t="inlineStr">
        <is>
          <t>Red Flag</t>
        </is>
      </c>
    </row>
    <row r="21" ht="42" customHeight="1">
      <c r="A21" s="24" t="inlineStr">
        <is>
          <t>U.S. Dept. of Energy</t>
        </is>
      </c>
      <c r="B21" s="24" t="inlineStr">
        <is>
          <t>$24.4M</t>
        </is>
      </c>
      <c r="C21" s="24" t="inlineStr">
        <is>
          <t>19.2%</t>
        </is>
      </c>
      <c r="D21" s="24" t="inlineStr">
        <is>
          <t>Non-assignable per Anti-Assignment Act; Clause H-12 requires 30-day notice; novation likely required</t>
        </is>
      </c>
      <c r="E21" s="24" t="inlineStr">
        <is>
          <t>Termination for default if no notice</t>
        </is>
      </c>
      <c r="F21" s="24" t="inlineStr">
        <is>
          <t>None (IDIQ)</t>
        </is>
      </c>
      <c r="G21" s="24" t="inlineStr">
        <is>
          <t>CRITICAL</t>
        </is>
      </c>
      <c r="H21" s="24" t="inlineStr">
        <is>
          <t>Engage CO immediately; make novation a closing condition</t>
        </is>
      </c>
      <c r="I21" s="24" t="inlineStr">
        <is>
          <t>RF-05, RF-06</t>
        </is>
      </c>
    </row>
    <row r="22" ht="42" customHeight="1">
      <c r="A22" s="36" t="inlineStr">
        <is>
          <t>Consolidated Mining &amp; Minerals</t>
        </is>
      </c>
      <c r="B22" s="36" t="inlineStr">
        <is>
          <t>$14.5M</t>
        </is>
      </c>
      <c r="C22" s="36" t="inlineStr">
        <is>
          <t>11.4%</t>
        </is>
      </c>
      <c r="D22" s="36" t="inlineStr">
        <is>
          <t>No CoC clause; no assignment restriction</t>
        </is>
      </c>
      <c r="E22" s="36" t="inlineStr">
        <is>
          <t>60-day T4C</t>
        </is>
      </c>
      <c r="F22" s="36" t="inlineStr">
        <is>
          <t>None</t>
        </is>
      </c>
      <c r="G22" s="36" t="inlineStr">
        <is>
          <t>HIGH</t>
        </is>
      </c>
      <c r="H22" s="36" t="inlineStr">
        <is>
          <t>Obtain comfort letter; confirm auto-renewal before closing</t>
        </is>
      </c>
      <c r="I22" s="36" t="inlineStr">
        <is>
          <t>RF-08</t>
        </is>
      </c>
    </row>
    <row r="23" ht="42" customHeight="1">
      <c r="A23" s="38" t="inlineStr">
        <is>
          <t>Western Slope Municipal Water District</t>
        </is>
      </c>
      <c r="B23" s="38" t="inlineStr">
        <is>
          <t>$9.8M</t>
        </is>
      </c>
      <c r="C23" s="38" t="inlineStr">
        <is>
          <t>7.7%</t>
        </is>
      </c>
      <c r="D23" s="38" t="inlineStr">
        <is>
          <t>Written notice of ownership change required; no consent required for stock transactions</t>
        </is>
      </c>
      <c r="E23" s="38" t="inlineStr">
        <is>
          <t>90-day T4C</t>
        </is>
      </c>
      <c r="F23" s="38" t="inlineStr">
        <is>
          <t>None</t>
        </is>
      </c>
      <c r="G23" s="38" t="inlineStr">
        <is>
          <t>MEDIUM</t>
        </is>
      </c>
      <c r="H23" s="38" t="inlineStr">
        <is>
          <t>Provide required ownership change notice</t>
        </is>
      </c>
      <c r="I23" s="38" t="inlineStr"/>
    </row>
    <row r="24" ht="42" customHeight="1">
      <c r="A24" s="38" t="inlineStr">
        <is>
          <t>High Plains Energy Partners</t>
        </is>
      </c>
      <c r="B24" s="38" t="inlineStr">
        <is>
          <t>$8.3M</t>
        </is>
      </c>
      <c r="C24" s="38" t="inlineStr">
        <is>
          <t>6.5%</t>
        </is>
      </c>
      <c r="D24" s="38" t="inlineStr">
        <is>
          <t>No explicit CoC clause; general assignment restriction under state law</t>
        </is>
      </c>
      <c r="E24" s="38" t="inlineStr">
        <is>
          <t>90-day T4C</t>
        </is>
      </c>
      <c r="F24" s="38" t="inlineStr">
        <is>
          <t>None</t>
        </is>
      </c>
      <c r="G24" s="38" t="inlineStr">
        <is>
          <t>MEDIUM</t>
        </is>
      </c>
      <c r="H24" s="38" t="inlineStr">
        <is>
          <t>Review state law assignment implications</t>
        </is>
      </c>
      <c r="I24" s="38" t="inlineStr"/>
    </row>
    <row r="25" ht="42" customHeight="1">
      <c r="A25" s="36" t="inlineStr">
        <is>
          <t>Intermountain Health Systems</t>
        </is>
      </c>
      <c r="B25" s="36" t="inlineStr">
        <is>
          <t>$7.1M</t>
        </is>
      </c>
      <c r="C25" s="36" t="inlineStr">
        <is>
          <t>5.6%</t>
        </is>
      </c>
      <c r="D25" s="36" t="inlineStr">
        <is>
          <t>Assignment requires prior written consent; 60-day advance CoC notice required; renewal decision due Feb 2025</t>
        </is>
      </c>
      <c r="E25" s="36" t="inlineStr">
        <is>
          <t>120-day T4C</t>
        </is>
      </c>
      <c r="F25" s="36" t="inlineStr">
        <is>
          <t>None</t>
        </is>
      </c>
      <c r="G25" s="36" t="inlineStr">
        <is>
          <t>HIGH</t>
        </is>
      </c>
      <c r="H25" s="36" t="inlineStr">
        <is>
          <t>Obtain consent; renewal decision due Feb 2025</t>
        </is>
      </c>
      <c r="I25" s="36" t="inlineStr">
        <is>
          <t>RF-07</t>
        </is>
      </c>
    </row>
    <row r="26" ht="42" customHeight="1">
      <c r="A26" s="38" t="inlineStr">
        <is>
          <t>Wasatch Front Petroleum Refining</t>
        </is>
      </c>
      <c r="B26" s="38" t="inlineStr">
        <is>
          <t>$6.4M</t>
        </is>
      </c>
      <c r="C26" s="38" t="inlineStr">
        <is>
          <t>5.0%</t>
        </is>
      </c>
      <c r="D26" s="38" t="inlineStr">
        <is>
          <t>No explicit CoC clause; Pinnacle legacy contract — confirm assumption by RES is valid</t>
        </is>
      </c>
      <c r="E26" s="38" t="inlineStr">
        <is>
          <t>30-day T4C</t>
        </is>
      </c>
      <c r="F26" s="38" t="inlineStr">
        <is>
          <t>None</t>
        </is>
      </c>
      <c r="G26" s="38" t="inlineStr">
        <is>
          <t>MEDIUM</t>
        </is>
      </c>
      <c r="H26" s="38" t="inlineStr">
        <is>
          <t>Confirm contract assumption by RES is valid</t>
        </is>
      </c>
      <c r="I26" s="38" t="inlineStr"/>
    </row>
    <row r="27" ht="42" customHeight="1">
      <c r="A27" s="39" t="inlineStr">
        <is>
          <t>Silver Creek Mining</t>
        </is>
      </c>
      <c r="B27" s="39" t="inlineStr">
        <is>
          <t>$5.8M</t>
        </is>
      </c>
      <c r="C27" s="39" t="inlineStr">
        <is>
          <t>4.6%</t>
        </is>
      </c>
      <c r="D27" s="39" t="inlineStr">
        <is>
          <t>No CoC clause</t>
        </is>
      </c>
      <c r="E27" s="39" t="inlineStr">
        <is>
          <t>60-day T4C</t>
        </is>
      </c>
      <c r="F27" s="39" t="inlineStr">
        <is>
          <t>None</t>
        </is>
      </c>
      <c r="G27" s="39" t="inlineStr">
        <is>
          <t>LOW</t>
        </is>
      </c>
      <c r="H27" s="39" t="inlineStr">
        <is>
          <t>Standard notification</t>
        </is>
      </c>
      <c r="I27" s="39" t="inlineStr"/>
    </row>
    <row r="28" ht="42" customHeight="1">
      <c r="A28" s="36" t="inlineStr">
        <is>
          <t>Utah DEQ</t>
        </is>
      </c>
      <c r="B28" s="36" t="inlineStr">
        <is>
          <t>$4.6M</t>
        </is>
      </c>
      <c r="C28" s="36" t="inlineStr">
        <is>
          <t>3.6%</t>
        </is>
      </c>
      <c r="D28" s="36" t="inlineStr">
        <is>
          <t>State reserves right to terminate if CoC materially affects contractor qualifications</t>
        </is>
      </c>
      <c r="E28" s="36" t="inlineStr">
        <is>
          <t>30-day T4C</t>
        </is>
      </c>
      <c r="F28" s="36" t="inlineStr">
        <is>
          <t>None</t>
        </is>
      </c>
      <c r="G28" s="36" t="inlineStr">
        <is>
          <t>HIGH</t>
        </is>
      </c>
      <c r="H28" s="36" t="inlineStr">
        <is>
          <t>Notify Utah DEQ; confirm qualifications unaffected</t>
        </is>
      </c>
      <c r="I28" s="36" t="inlineStr">
        <is>
          <t>RF-07</t>
        </is>
      </c>
    </row>
    <row r="29" ht="42" customHeight="1">
      <c r="A29" s="36" t="inlineStr">
        <is>
          <t>Rocky Mountain Pipeline</t>
        </is>
      </c>
      <c r="B29" s="36" t="inlineStr">
        <is>
          <t>$4.2M</t>
        </is>
      </c>
      <c r="C29" s="36" t="inlineStr">
        <is>
          <t>3.3%</t>
        </is>
      </c>
      <c r="D29" s="36" t="inlineStr">
        <is>
          <t>Assignment requires prior written consent; CoC triggers 30-day notification and consent period</t>
        </is>
      </c>
      <c r="E29" s="36" t="inlineStr">
        <is>
          <t>90-day T4C</t>
        </is>
      </c>
      <c r="F29" s="36" t="inlineStr">
        <is>
          <t>None</t>
        </is>
      </c>
      <c r="G29" s="36" t="inlineStr">
        <is>
          <t>HIGH</t>
        </is>
      </c>
      <c r="H29" s="36" t="inlineStr">
        <is>
          <t>Obtain consent before closing</t>
        </is>
      </c>
      <c r="I29" s="36" t="inlineStr">
        <is>
          <t>RF-07</t>
        </is>
      </c>
    </row>
    <row r="30" ht="42" customHeight="1">
      <c r="A30" s="36" t="inlineStr">
        <is>
          <t>Bridger Valley Ranches</t>
        </is>
      </c>
      <c r="B30" s="36" t="inlineStr">
        <is>
          <t>$4.1M</t>
        </is>
      </c>
      <c r="C30" s="36" t="inlineStr">
        <is>
          <t>3.2%</t>
        </is>
      </c>
      <c r="D30" s="36" t="inlineStr">
        <is>
          <t>No assignment without prior written consent of both parties</t>
        </is>
      </c>
      <c r="E30" s="36" t="inlineStr">
        <is>
          <t>None (cause only)</t>
        </is>
      </c>
      <c r="F30" s="36" t="inlineStr">
        <is>
          <t>Fixed-price milestones</t>
        </is>
      </c>
      <c r="G30" s="36" t="inlineStr">
        <is>
          <t>HIGH</t>
        </is>
      </c>
      <c r="H30" s="36" t="inlineStr">
        <is>
          <t>Obtain consent before closing</t>
        </is>
      </c>
      <c r="I30" s="36" t="inlineStr">
        <is>
          <t>RF-07</t>
        </is>
      </c>
    </row>
    <row r="31" ht="42" customHeight="1">
      <c r="A31" s="36" t="inlineStr">
        <is>
          <t>Colorado DOT</t>
        </is>
      </c>
      <c r="B31" s="36" t="inlineStr">
        <is>
          <t>$3.9M</t>
        </is>
      </c>
      <c r="C31" s="36" t="inlineStr">
        <is>
          <t>3.1%</t>
        </is>
      </c>
      <c r="D31" s="36" t="inlineStr">
        <is>
          <t>Prior written consent of CDOT required for assignment; notification required for ownership change</t>
        </is>
      </c>
      <c r="E31" s="36" t="inlineStr">
        <is>
          <t>30-day T4C</t>
        </is>
      </c>
      <c r="F31" s="36" t="inlineStr">
        <is>
          <t>None</t>
        </is>
      </c>
      <c r="G31" s="36" t="inlineStr">
        <is>
          <t>HIGH</t>
        </is>
      </c>
      <c r="H31" s="36" t="inlineStr">
        <is>
          <t>Obtain CDOT consent before closing</t>
        </is>
      </c>
      <c r="I31" s="36" t="inlineStr">
        <is>
          <t>RF-07</t>
        </is>
      </c>
    </row>
    <row r="32" ht="42" customHeight="1">
      <c r="A32" s="36" t="inlineStr">
        <is>
          <t>Frontier E&amp;P</t>
        </is>
      </c>
      <c r="B32" s="36" t="inlineStr">
        <is>
          <t>$2.6M</t>
        </is>
      </c>
      <c r="C32" s="36" t="inlineStr">
        <is>
          <t>2.0%</t>
        </is>
      </c>
      <c r="D32" s="36" t="inlineStr">
        <is>
          <t>Assignment requires prior written consent; CoC notification required within 30 days</t>
        </is>
      </c>
      <c r="E32" s="36" t="inlineStr">
        <is>
          <t>90-day T4C</t>
        </is>
      </c>
      <c r="F32" s="36" t="inlineStr">
        <is>
          <t>None</t>
        </is>
      </c>
      <c r="G32" s="36" t="inlineStr">
        <is>
          <t>HIGH</t>
        </is>
      </c>
      <c r="H32" s="36" t="inlineStr">
        <is>
          <t>Obtain consent or provide notification</t>
        </is>
      </c>
      <c r="I32" s="36" t="inlineStr">
        <is>
          <t>RF-07</t>
        </is>
      </c>
    </row>
    <row r="33" ht="42" customHeight="1">
      <c r="A33" s="36" t="inlineStr">
        <is>
          <t>Teton Steel &amp; Manufacturing</t>
        </is>
      </c>
      <c r="B33" s="36" t="inlineStr">
        <is>
          <t>$2.1M</t>
        </is>
      </c>
      <c r="C33" s="36" t="inlineStr">
        <is>
          <t>1.6%</t>
        </is>
      </c>
      <c r="D33" s="36" t="inlineStr">
        <is>
          <t>No assignment without mutual written consent</t>
        </is>
      </c>
      <c r="E33" s="36" t="inlineStr">
        <is>
          <t>60-day T4C</t>
        </is>
      </c>
      <c r="F33" s="36" t="inlineStr">
        <is>
          <t>None</t>
        </is>
      </c>
      <c r="G33" s="36" t="inlineStr">
        <is>
          <t>HIGH</t>
        </is>
      </c>
      <c r="H33" s="36" t="inlineStr">
        <is>
          <t>Obtain mutual consent before closing</t>
        </is>
      </c>
      <c r="I33" s="36" t="inlineStr">
        <is>
          <t>RF-07</t>
        </is>
      </c>
    </row>
  </sheetData>
  <mergeCells count="3">
    <mergeCell ref="A1:I1"/>
    <mergeCell ref="A19:I19"/>
    <mergeCell ref="A3:I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28" customWidth="1" min="3" max="3"/>
    <col width="14" customWidth="1" min="4" max="4"/>
    <col width="14" customWidth="1" min="5" max="5"/>
    <col width="22" customWidth="1" min="6" max="6"/>
    <col width="32" customWidth="1" min="7" max="7"/>
    <col width="14" customWidth="1" min="8" max="8"/>
  </cols>
  <sheetData>
    <row r="1" ht="26" customHeight="1">
      <c r="A1" s="20" t="inlineStr">
        <is>
          <t>ENVIRONMENTAL LIABILITY &amp; REGULATORY COMPLIANCE — DETAILED ANALYSIS</t>
        </is>
      </c>
    </row>
    <row r="3" ht="20" customHeight="1">
      <c r="A3" s="29" t="inlineStr">
        <is>
          <t>PERMIT STATUS MATRIX</t>
        </is>
      </c>
    </row>
    <row r="4" ht="32" customHeight="1">
      <c r="A4" s="30" t="inlineStr">
        <is>
          <t>Facility</t>
        </is>
      </c>
      <c r="B4" s="30" t="inlineStr">
        <is>
          <t>Permit No.</t>
        </is>
      </c>
      <c r="C4" s="30" t="inlineStr">
        <is>
          <t>Issuing Authority</t>
        </is>
      </c>
      <c r="D4" s="30" t="inlineStr">
        <is>
          <t>Expiration</t>
        </is>
      </c>
      <c r="E4" s="30" t="inlineStr">
        <is>
          <t>Current Status</t>
        </is>
      </c>
      <c r="F4" s="30" t="inlineStr">
        <is>
          <t>Transfer Status</t>
        </is>
      </c>
      <c r="G4" s="30" t="inlineStr">
        <is>
          <t>Compliance History</t>
        </is>
      </c>
      <c r="H4" s="30" t="inlineStr">
        <is>
          <t>Red Flag</t>
        </is>
      </c>
    </row>
    <row r="5" ht="48" customHeight="1">
      <c r="A5" s="27" t="inlineStr">
        <is>
          <t>Grand Junction, CO (HQ)</t>
        </is>
      </c>
      <c r="B5" s="27" t="inlineStr">
        <is>
          <t>COD-098-2761</t>
        </is>
      </c>
      <c r="C5" s="27" t="inlineStr">
        <is>
          <t>CDPHE</t>
        </is>
      </c>
      <c r="D5" s="27" t="inlineStr">
        <is>
          <t>Dec 31, 2026</t>
        </is>
      </c>
      <c r="E5" s="27" t="inlineStr">
        <is>
          <t>Active — Good Standing</t>
        </is>
      </c>
      <c r="F5" s="27" t="inlineStr">
        <is>
          <t>N/A (originally issued to RES)</t>
        </is>
      </c>
      <c r="G5" s="27" t="inlineStr">
        <is>
          <t>Active NOV (CDPHE-HW-2024-0093) — improper storage; penalty $200K–$1.16M; no accrual recorded</t>
        </is>
      </c>
      <c r="H5" s="27" t="inlineStr">
        <is>
          <t>RF-12: HIGH</t>
        </is>
      </c>
    </row>
    <row r="6" ht="48" customHeight="1">
      <c r="A6" s="27" t="inlineStr">
        <is>
          <t>Salt Lake City, UT</t>
        </is>
      </c>
      <c r="B6" s="27" t="inlineStr">
        <is>
          <t>UTH-0441</t>
        </is>
      </c>
      <c r="C6" s="27" t="inlineStr">
        <is>
          <t>Utah DEQ / Div. Waste Mgmt</t>
        </is>
      </c>
      <c r="D6" s="27" t="inlineStr">
        <is>
          <t>2029</t>
        </is>
      </c>
      <c r="E6" s="27" t="inlineStr">
        <is>
          <t>Active — Under Pinnacle Name</t>
        </is>
      </c>
      <c r="F6" s="27" t="inlineStr">
        <is>
          <t>PENDING — requested Apr 12, 2022; no response in 2.5 years</t>
        </is>
      </c>
      <c r="G6" s="27" t="inlineStr">
        <is>
          <t>No violations; but operating under wrong entity name since Mar 2022</t>
        </is>
      </c>
      <c r="H6" s="27" t="inlineStr">
        <is>
          <t>RF-14: HIGH</t>
        </is>
      </c>
    </row>
    <row r="7" ht="48" customHeight="1">
      <c r="A7" s="31" t="inlineStr">
        <is>
          <t>Ogden, UT</t>
        </is>
      </c>
      <c r="B7" s="31" t="inlineStr">
        <is>
          <t>UTH-0587</t>
        </is>
      </c>
      <c r="C7" s="31" t="inlineStr">
        <is>
          <t>Utah DEQ / Div. Waste Mgmt</t>
        </is>
      </c>
      <c r="D7" s="31" t="inlineStr">
        <is>
          <t>2029</t>
        </is>
      </c>
      <c r="E7" s="31" t="inlineStr">
        <is>
          <t>Active — Good Standing</t>
        </is>
      </c>
      <c r="F7" s="31" t="inlineStr">
        <is>
          <t>COMPLETE — transferred to RES Jun 2022</t>
        </is>
      </c>
      <c r="G7" s="31" t="inlineStr">
        <is>
          <t>No violations; clean record</t>
        </is>
      </c>
      <c r="H7" s="31" t="inlineStr">
        <is>
          <t>None</t>
        </is>
      </c>
    </row>
    <row r="8" ht="48" customHeight="1">
      <c r="A8" s="27" t="inlineStr">
        <is>
          <t>Casper, WY</t>
        </is>
      </c>
      <c r="B8" s="27" t="inlineStr">
        <is>
          <t>WY-HW-2019-033</t>
        </is>
      </c>
      <c r="C8" s="27" t="inlineStr">
        <is>
          <t>Wyoming DEQ</t>
        </is>
      </c>
      <c r="D8" s="27" t="inlineStr">
        <is>
          <t>EXPIRED Nov 30, 2024</t>
        </is>
      </c>
      <c r="E8" s="27" t="inlineStr">
        <is>
          <t>EXPIRED — Operating under timely renewal</t>
        </is>
      </c>
      <c r="F8" s="27" t="inlineStr">
        <is>
          <t>N/A (originally issued to RES)</t>
        </is>
      </c>
      <c r="G8" s="27" t="inlineStr">
        <is>
          <t>Minor admin deficiency 2022 (corrected); otherwise clean; renewal expected Q1 2025</t>
        </is>
      </c>
      <c r="H8" s="27" t="inlineStr">
        <is>
          <t>RF-13: HIGH</t>
        </is>
      </c>
    </row>
    <row r="9" ht="48" customHeight="1">
      <c r="A9" s="31" t="inlineStr">
        <is>
          <t>Billings, MT</t>
        </is>
      </c>
      <c r="B9" s="31" t="inlineStr">
        <is>
          <t>MT-HW-2022-011</t>
        </is>
      </c>
      <c r="C9" s="31" t="inlineStr">
        <is>
          <t>Montana DEQ</t>
        </is>
      </c>
      <c r="D9" s="31" t="inlineStr">
        <is>
          <t>Mar 31, 2027</t>
        </is>
      </c>
      <c r="E9" s="31" t="inlineStr">
        <is>
          <t>Active — Good Standing</t>
        </is>
      </c>
      <c r="F9" s="31" t="inlineStr">
        <is>
          <t>N/A (originally issued to RES)</t>
        </is>
      </c>
      <c r="G9" s="31" t="inlineStr">
        <is>
          <t>Satisfactory 2023 inspection; no violations</t>
        </is>
      </c>
      <c r="H9" s="31" t="inlineStr">
        <is>
          <t>None</t>
        </is>
      </c>
    </row>
    <row r="10" ht="48" customHeight="1">
      <c r="A10" s="31" t="inlineStr">
        <is>
          <t>Idaho Operations</t>
        </is>
      </c>
      <c r="B10" s="31" t="inlineStr">
        <is>
          <t>EPA ID only</t>
        </is>
      </c>
      <c r="C10" s="31" t="inlineStr">
        <is>
          <t>Idaho DEQ / EPA</t>
        </is>
      </c>
      <c r="D10" s="31" t="inlineStr">
        <is>
          <t>N/A</t>
        </is>
      </c>
      <c r="E10" s="31" t="inlineStr">
        <is>
          <t>Active — Emergency response only</t>
        </is>
      </c>
      <c r="F10" s="31" t="inlineStr">
        <is>
          <t>N/A</t>
        </is>
      </c>
      <c r="G10" s="31" t="inlineStr">
        <is>
          <t>No violations; Idaho DEQ confirmed no state permit required (Aug 2022 letter)</t>
        </is>
      </c>
      <c r="H10" s="31" t="inlineStr">
        <is>
          <t>None</t>
        </is>
      </c>
    </row>
    <row r="12" ht="20" customHeight="1">
      <c r="A12" s="29" t="inlineStr">
        <is>
          <t>ENVIRONMENTAL LIABILITY SUMMARY</t>
        </is>
      </c>
    </row>
    <row r="13" ht="32" customHeight="1">
      <c r="A13" s="30" t="inlineStr">
        <is>
          <t>Matter</t>
        </is>
      </c>
      <c r="B13" s="30" t="inlineStr">
        <is>
          <t>Location</t>
        </is>
      </c>
      <c r="C13" s="30" t="inlineStr">
        <is>
          <t>Nature</t>
        </is>
      </c>
      <c r="D13" s="30" t="inlineStr">
        <is>
          <t>2019 Est. Cost</t>
        </is>
      </c>
      <c r="E13" s="30" t="inlineStr">
        <is>
          <t>Current Accrual</t>
        </is>
      </c>
      <c r="F13" s="30" t="inlineStr">
        <is>
          <t>Insurance Coverage</t>
        </is>
      </c>
      <c r="G13" s="30" t="inlineStr">
        <is>
          <t>Upside Risk Factors</t>
        </is>
      </c>
      <c r="H13" s="30" t="inlineStr">
        <is>
          <t>Red Flag</t>
        </is>
      </c>
    </row>
    <row r="14" ht="58" customHeight="1">
      <c r="A14" s="24" t="inlineStr">
        <is>
          <t>Grand Junction Soil/GW Contamination</t>
        </is>
      </c>
      <c r="B14" s="24" t="inlineStr">
        <is>
          <t>8750 Industrial Pkwy, GJ CO</t>
        </is>
      </c>
      <c r="C14" s="24" t="inlineStr">
        <is>
          <t>Petroleum hydrocarbons (TPH-DRO, BTEX) + chlorinated solvents (PCE, TCE) from pre-acquisition operations</t>
        </is>
      </c>
      <c r="D14" s="24" t="inlineStr">
        <is>
          <t>$1.8M–$2.6M (2019 $)</t>
        </is>
      </c>
      <c r="E14" s="24" t="inlineStr">
        <is>
          <t>$2.2M (portion of $3.2M total)</t>
        </is>
      </c>
      <c r="F14" s="24" t="inlineStr">
        <is>
          <t>EXCLUDED — PLL policy excludes gradual contamination at owned facilities (&gt;72 hrs)</t>
        </is>
      </c>
      <c r="G14" s="24" t="inlineStr">
        <is>
          <t>Vapor intrusion unassessed; off-site plume unconfirmed; DNAPL migration risk; 2019 estimate stale; inflation adjustment needed</t>
        </is>
      </c>
      <c r="H14" s="24" t="inlineStr">
        <is>
          <t>RF-09: CRITICAL; RF-10: HIGH</t>
        </is>
      </c>
    </row>
    <row r="15" ht="58" customHeight="1">
      <c r="A15" s="27" t="inlineStr">
        <is>
          <t>CDPHE Enforcement Action</t>
        </is>
      </c>
      <c r="B15" s="27" t="inlineStr">
        <is>
          <t>Grand Junction, CO</t>
        </is>
      </c>
      <c r="C15" s="27" t="inlineStr">
        <is>
          <t>Improper storage of 14,000 gal F001/F002 solvents; NOV issued Jul 18, 2024</t>
        </is>
      </c>
      <c r="D15" s="27" t="inlineStr">
        <is>
          <t>$200K–$1.16M penalty</t>
        </is>
      </c>
      <c r="E15" s="27" t="inlineStr">
        <is>
          <t>$0 (no accrual)</t>
        </is>
      </c>
      <c r="F15" s="27" t="inlineStr">
        <is>
          <t>Not applicable (regulatory penalty)</t>
        </is>
      </c>
      <c r="G15" s="27" t="inlineStr">
        <is>
          <t>CDPHE asserts 31-day violation ($1.16M max); Company asserts 12-day ($450K max); settlement conference Q1 2025</t>
        </is>
      </c>
      <c r="H15" s="27" t="inlineStr">
        <is>
          <t>RF-12: HIGH</t>
        </is>
      </c>
    </row>
    <row r="16" ht="58" customHeight="1">
      <c r="A16" s="27" t="inlineStr">
        <is>
          <t>Asbestos Long-Tail Exposure</t>
        </is>
      </c>
      <c r="B16" s="27" t="inlineStr">
        <is>
          <t>145 sites across CO, UT, WY</t>
        </is>
      </c>
      <c r="C16" s="27" t="inlineStr">
        <is>
          <t>Potential personal injury claims from 11-yr asbestos abatement operation (2012–2023); $31.2M cumulative revenue</t>
        </is>
      </c>
      <c r="D16" s="27" t="inlineStr">
        <is>
          <t>Unquantifiable</t>
        </is>
      </c>
      <c r="E16" s="27" t="inlineStr">
        <is>
          <t>$0 (no accrual)</t>
        </is>
      </c>
      <c r="F16" s="27" t="inlineStr">
        <is>
          <t>Pre-2015 work UNINSURED (PLL retroactive date Jan 1, 2015); CGL has blanket asbestos exclusion; no tail coverage procured</t>
        </is>
      </c>
      <c r="G16" s="27" t="inlineStr">
        <is>
          <t>Two open WC claims (filed 2021, 2022); long-tail claims can emerge decades post-exposure</t>
        </is>
      </c>
      <c r="H16" s="27" t="inlineStr">
        <is>
          <t>RF-11: HIGH</t>
        </is>
      </c>
    </row>
    <row r="17" ht="58" customHeight="1">
      <c r="A17" s="38" t="inlineStr">
        <is>
          <t>Ramirez Personal Injury Claim</t>
        </is>
      </c>
      <c r="B17" s="38" t="inlineStr">
        <is>
          <t>Sheridan, WY job site</t>
        </is>
      </c>
      <c r="C17" s="38" t="inlineStr">
        <is>
          <t>Former field tech alleges VOC/heavy metal exposure; negligence, negligence per se, strict liability; $4.8M claimed</t>
        </is>
      </c>
      <c r="D17" s="38" t="inlineStr">
        <is>
          <t>$500K–$1.5M (mgmt est.)</t>
        </is>
      </c>
      <c r="E17" s="38" t="inlineStr">
        <is>
          <t>$0 (no accrual)</t>
        </is>
      </c>
      <c r="F17" s="38" t="inlineStr">
        <is>
          <t>Tendered under CGL and PLL; insurer issued RESERVATION OF RIGHTS Sep 19, 2024 — coverage uncertain</t>
        </is>
      </c>
      <c r="G17" s="38" t="inlineStr">
        <is>
          <t>Punitive damages claimed; coverage determination pending; trial date Feb 2026</t>
        </is>
      </c>
      <c r="H17" s="38" t="inlineStr">
        <is>
          <t>RF-21: MEDIUM</t>
        </is>
      </c>
    </row>
  </sheetData>
  <mergeCells count="3">
    <mergeCell ref="A12:H12"/>
    <mergeCell ref="A3:H3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42" customWidth="1" min="3" max="3"/>
    <col width="20" customWidth="1" min="4" max="4"/>
    <col width="14" customWidth="1" min="5" max="5"/>
    <col width="12" customWidth="1" min="6" max="6"/>
  </cols>
  <sheetData>
    <row r="1" ht="26" customHeight="1">
      <c r="A1" s="20" t="inlineStr">
        <is>
          <t>DEBT, CHANGE-OF-CONTROL &amp; CLOSING COST ANALYSIS</t>
        </is>
      </c>
    </row>
    <row r="3" ht="20" customHeight="1">
      <c r="A3" s="29" t="inlineStr">
        <is>
          <t>MANDATORY PREPAYMENT ANALYSIS — HIGH PLAINS NATIONAL BANK (RF-15)</t>
        </is>
      </c>
    </row>
    <row r="4" ht="32" customHeight="1">
      <c r="A4" s="30" t="inlineStr">
        <is>
          <t>Component</t>
        </is>
      </c>
      <c r="B4" s="30" t="inlineStr">
        <is>
          <t>Amount ($)</t>
        </is>
      </c>
      <c r="C4" s="30" t="inlineStr">
        <is>
          <t>Notes</t>
        </is>
      </c>
      <c r="D4" s="30" t="inlineStr">
        <is>
          <t>Timing</t>
        </is>
      </c>
      <c r="E4" s="30" t="inlineStr">
        <is>
          <t>Negotiable?</t>
        </is>
      </c>
      <c r="F4" s="30" t="inlineStr">
        <is>
          <t>Red Flag</t>
        </is>
      </c>
    </row>
    <row r="5" ht="32" customHeight="1">
      <c r="A5" s="31" t="inlineStr">
        <is>
          <t>Revolving Credit Facility (outstanding)</t>
        </is>
      </c>
      <c r="B5" s="31" t="inlineStr">
        <is>
          <t>$12,400,000</t>
        </is>
      </c>
      <c r="C5" s="31" t="inlineStr">
        <is>
          <t>As of Sep 30, 2024; no prepayment premium on revolver</t>
        </is>
      </c>
      <c r="D5" s="31" t="inlineStr">
        <is>
          <t>Within 5 business days of CoC</t>
        </is>
      </c>
      <c r="E5" s="31" t="inlineStr">
        <is>
          <t>No — mandatory</t>
        </is>
      </c>
      <c r="F5" s="31" t="inlineStr">
        <is>
          <t>RF-15</t>
        </is>
      </c>
    </row>
    <row r="6" ht="32" customHeight="1">
      <c r="A6" s="31" t="inlineStr">
        <is>
          <t>Term Loan (outstanding)</t>
        </is>
      </c>
      <c r="B6" s="31" t="inlineStr">
        <is>
          <t>$26,300,000</t>
        </is>
      </c>
      <c r="C6" s="31" t="inlineStr">
        <is>
          <t>As of Sep 30, 2024; interest-only period expires Jan 17, 2025; then $657.5K/qtr amortization commences</t>
        </is>
      </c>
      <c r="D6" s="31" t="inlineStr">
        <is>
          <t>Within 5 business days of CoC</t>
        </is>
      </c>
      <c r="E6" s="31" t="inlineStr">
        <is>
          <t>No — mandatory</t>
        </is>
      </c>
      <c r="F6" s="31" t="inlineStr">
        <is>
          <t>RF-15</t>
        </is>
      </c>
    </row>
    <row r="7" ht="32" customHeight="1">
      <c r="A7" s="31" t="inlineStr">
        <is>
          <t>Term Loan Prepayment Premium (1.0%)</t>
        </is>
      </c>
      <c r="B7" s="31" t="inlineStr">
        <is>
          <t>$263,000</t>
        </is>
      </c>
      <c r="C7" s="31" t="inlineStr">
        <is>
          <t>Applicable Jan 17, 2025 – Jan 16, 2026; 1.0% of outstanding principal; mandatory per §2.11(c)</t>
        </is>
      </c>
      <c r="D7" s="31" t="inlineStr">
        <is>
          <t>At prepayment</t>
        </is>
      </c>
      <c r="E7" s="31" t="inlineStr">
        <is>
          <t>No — contractual</t>
        </is>
      </c>
      <c r="F7" s="31" t="inlineStr">
        <is>
          <t>RF-15</t>
        </is>
      </c>
    </row>
    <row r="8" ht="32" customHeight="1">
      <c r="A8" s="31" t="inlineStr">
        <is>
          <t>Estimated Accrued Interest</t>
        </is>
      </c>
      <c r="B8" s="31" t="inlineStr">
        <is>
          <t>$200,000–$300,000</t>
        </is>
      </c>
      <c r="C8" s="31" t="inlineStr">
        <is>
          <t>Estimate; depends on closing date and prevailing SOFR rate</t>
        </is>
      </c>
      <c r="D8" s="31" t="inlineStr">
        <is>
          <t>At prepayment</t>
        </is>
      </c>
      <c r="E8" s="31" t="inlineStr">
        <is>
          <t>No</t>
        </is>
      </c>
      <c r="F8" s="31" t="inlineStr">
        <is>
          <t>RF-15</t>
        </is>
      </c>
    </row>
    <row r="9" ht="32" customHeight="1">
      <c r="A9" s="31" t="inlineStr">
        <is>
          <t>SOFR Breakage Costs</t>
        </is>
      </c>
      <c r="B9" s="31" t="inlineStr">
        <is>
          <t>TBD (modest)</t>
        </is>
      </c>
      <c r="C9" s="31" t="inlineStr">
        <is>
          <t>Depends on prepayment date vs. interest period end; typically modest</t>
        </is>
      </c>
      <c r="D9" s="31" t="inlineStr">
        <is>
          <t>At prepayment</t>
        </is>
      </c>
      <c r="E9" s="31" t="inlineStr">
        <is>
          <t>No</t>
        </is>
      </c>
      <c r="F9" s="31" t="inlineStr"/>
    </row>
    <row r="10" ht="32" customHeight="1">
      <c r="A10" s="24" t="inlineStr">
        <is>
          <t>TOTAL ESTIMATED MANDATORY PREPAYMENT</t>
        </is>
      </c>
      <c r="B10" s="24" t="inlineStr">
        <is>
          <t>~$39,163,000–$39,263,000</t>
        </is>
      </c>
      <c r="C10" s="24" t="inlineStr">
        <is>
          <t>Based on Sep 30, 2024 balances; will change by closing date; no waiver mechanism in credit agreement</t>
        </is>
      </c>
      <c r="D10" s="24" t="inlineStr">
        <is>
          <t>Within 5 business days of CoC</t>
        </is>
      </c>
      <c r="E10" s="24" t="inlineStr">
        <is>
          <t>NO WAIVER MECHANISM</t>
        </is>
      </c>
      <c r="F10" s="24" t="inlineStr">
        <is>
          <t>RF-15: CRITICAL</t>
        </is>
      </c>
    </row>
    <row r="12" ht="20" customHeight="1">
      <c r="A12" s="29" t="inlineStr">
        <is>
          <t>CHANGE-OF-CONTROL SEVERANCE ANALYSIS (RF-17)</t>
        </is>
      </c>
    </row>
    <row r="13" ht="32" customHeight="1">
      <c r="A13" s="30" t="inlineStr">
        <is>
          <t>Executive</t>
        </is>
      </c>
      <c r="B13" s="30" t="inlineStr">
        <is>
          <t>Title</t>
        </is>
      </c>
      <c r="C13" s="30" t="inlineStr">
        <is>
          <t>Base Salary ($)</t>
        </is>
      </c>
      <c r="D13" s="30" t="inlineStr">
        <is>
          <t>CoC Severance ($)</t>
        </is>
      </c>
      <c r="E13" s="30" t="inlineStr">
        <is>
          <t>Trigger Type</t>
        </is>
      </c>
      <c r="F13" s="30" t="inlineStr">
        <is>
          <t>Notes</t>
        </is>
      </c>
    </row>
    <row r="14" ht="32" customHeight="1">
      <c r="A14" s="31" t="inlineStr">
        <is>
          <t>Derek Calloway</t>
        </is>
      </c>
      <c r="B14" s="31" t="inlineStr">
        <is>
          <t>CEO &amp; Co-Founder</t>
        </is>
      </c>
      <c r="C14" s="31" t="inlineStr">
        <is>
          <t>$875,000</t>
        </is>
      </c>
      <c r="D14" s="31" t="inlineStr">
        <is>
          <t>$1,312,500</t>
        </is>
      </c>
      <c r="E14" s="31" t="inlineStr">
        <is>
          <t>SINGLE TRIGGER — payable at closing</t>
        </is>
      </c>
      <c r="F14" s="31" t="inlineStr">
        <is>
          <t>1.5x base salary; payable within 30 days of closing regardless of employment status; certain cash outflow</t>
        </is>
      </c>
    </row>
    <row r="15" ht="32" customHeight="1">
      <c r="A15" s="31" t="inlineStr">
        <is>
          <t>Jason Calloway</t>
        </is>
      </c>
      <c r="B15" s="31" t="inlineStr">
        <is>
          <t>COO &amp; Co-Founder</t>
        </is>
      </c>
      <c r="C15" s="31" t="inlineStr">
        <is>
          <t>$875,000</t>
        </is>
      </c>
      <c r="D15" s="31" t="inlineStr">
        <is>
          <t>$1,312,500</t>
        </is>
      </c>
      <c r="E15" s="31" t="inlineStr">
        <is>
          <t>SINGLE TRIGGER — payable at closing</t>
        </is>
      </c>
      <c r="F15" s="31" t="inlineStr">
        <is>
          <t>1.5x base salary; payable within 30 days of closing regardless of employment status; certain cash outflow</t>
        </is>
      </c>
    </row>
    <row r="16" ht="32" customHeight="1">
      <c r="A16" s="31" t="inlineStr">
        <is>
          <t>Patricia Engel</t>
        </is>
      </c>
      <c r="B16" s="31" t="inlineStr">
        <is>
          <t>CFO</t>
        </is>
      </c>
      <c r="C16" s="31" t="inlineStr">
        <is>
          <t>$425,000</t>
        </is>
      </c>
      <c r="D16" s="31" t="inlineStr">
        <is>
          <t>$425,000</t>
        </is>
      </c>
      <c r="E16" s="31" t="inlineStr">
        <is>
          <t>Double trigger</t>
        </is>
      </c>
      <c r="F16" s="31" t="inlineStr">
        <is>
          <t>1.0x base salary; requires CoC + termination without cause or material diminution within 12 months post-closing</t>
        </is>
      </c>
    </row>
    <row r="17" ht="32" customHeight="1">
      <c r="A17" s="31" t="inlineStr">
        <is>
          <t>Kurt Dillon</t>
        </is>
      </c>
      <c r="B17" s="31" t="inlineStr">
        <is>
          <t>VP Operations</t>
        </is>
      </c>
      <c r="C17" s="31" t="inlineStr">
        <is>
          <t>$375,000</t>
        </is>
      </c>
      <c r="D17" s="31" t="inlineStr">
        <is>
          <t>$375,000</t>
        </is>
      </c>
      <c r="E17" s="31" t="inlineStr">
        <is>
          <t>Double trigger</t>
        </is>
      </c>
      <c r="F17" s="31" t="inlineStr">
        <is>
          <t>1.0x base salary; requires CoC + termination without cause or material diminution within 12 months post-closing</t>
        </is>
      </c>
    </row>
    <row r="18" ht="32" customHeight="1">
      <c r="A18" s="31" t="inlineStr">
        <is>
          <t>Sandra Oakes</t>
        </is>
      </c>
      <c r="B18" s="31" t="inlineStr">
        <is>
          <t>VP Business Development</t>
        </is>
      </c>
      <c r="C18" s="31" t="inlineStr">
        <is>
          <t>$350,000</t>
        </is>
      </c>
      <c r="D18" s="31" t="inlineStr">
        <is>
          <t>$350,000</t>
        </is>
      </c>
      <c r="E18" s="31" t="inlineStr">
        <is>
          <t>Double trigger</t>
        </is>
      </c>
      <c r="F18" s="31" t="inlineStr">
        <is>
          <t>1.0x base salary; requires CoC + termination without cause or material diminution within 12 months post-closing</t>
        </is>
      </c>
    </row>
    <row r="19" ht="32" customHeight="1">
      <c r="A19" s="24" t="inlineStr">
        <is>
          <t>SUBTOTAL — Single Trigger (CERTAIN at closing)</t>
        </is>
      </c>
      <c r="B19" s="24" t="inlineStr"/>
      <c r="C19" s="24" t="inlineStr"/>
      <c r="D19" s="24" t="inlineStr">
        <is>
          <t>$2,625,000</t>
        </is>
      </c>
      <c r="E19" s="24" t="inlineStr">
        <is>
          <t>CERTAIN AT CLOSING</t>
        </is>
      </c>
      <c r="F19" s="24" t="inlineStr">
        <is>
          <t>Payable within 30 days of closing; must be funded at closing regardless of post-closing employment</t>
        </is>
      </c>
    </row>
    <row r="20" ht="32" customHeight="1">
      <c r="A20" s="40" t="inlineStr">
        <is>
          <t>SUBTOTAL — Double Trigger (contingent)</t>
        </is>
      </c>
      <c r="B20" s="40" t="inlineStr"/>
      <c r="C20" s="40" t="inlineStr"/>
      <c r="D20" s="40" t="inlineStr">
        <is>
          <t>$1,150,000</t>
        </is>
      </c>
      <c r="E20" s="40" t="inlineStr">
        <is>
          <t>Contingent on post-closing events</t>
        </is>
      </c>
      <c r="F20" s="40" t="inlineStr">
        <is>
          <t>Payable only upon qualifying termination within 12 months post-closing</t>
        </is>
      </c>
    </row>
    <row r="21" ht="32" customHeight="1">
      <c r="A21" s="36" t="inlineStr">
        <is>
          <t>TOTAL — All Executives</t>
        </is>
      </c>
      <c r="B21" s="36" t="inlineStr"/>
      <c r="C21" s="36" t="inlineStr"/>
      <c r="D21" s="36" t="inlineStr">
        <is>
          <t>$3,775,000</t>
        </is>
      </c>
      <c r="E21" s="36" t="inlineStr">
        <is>
          <t>—</t>
        </is>
      </c>
      <c r="F21" s="36" t="inlineStr">
        <is>
          <t>LOI silent on Transaction Expense treatment; must be addressed in SPA; consider as purchase price reduction</t>
        </is>
      </c>
    </row>
    <row r="23" ht="20" customHeight="1">
      <c r="A23" s="29" t="inlineStr">
        <is>
          <t>EBITDA DEFINITION COMPARISON — MANAGEMENT vs. BANK (RF-16)</t>
        </is>
      </c>
    </row>
    <row r="24" ht="32" customHeight="1">
      <c r="A24" s="30" t="inlineStr">
        <is>
          <t>Item</t>
        </is>
      </c>
      <c r="B24" s="30" t="inlineStr">
        <is>
          <t>Management Adj. EBITDA</t>
        </is>
      </c>
      <c r="C24" s="30" t="inlineStr">
        <is>
          <t>Bank Consolidated EBITDA</t>
        </is>
      </c>
      <c r="D24" s="30" t="inlineStr">
        <is>
          <t>Difference</t>
        </is>
      </c>
      <c r="E24" s="30" t="inlineStr">
        <is>
          <t>Bank Permitted?</t>
        </is>
      </c>
      <c r="F24" s="30" t="inlineStr">
        <is>
          <t>Implication</t>
        </is>
      </c>
    </row>
    <row r="25" ht="28" customHeight="1">
      <c r="A25" s="31" t="inlineStr">
        <is>
          <t>Reported EBITDA</t>
        </is>
      </c>
      <c r="B25" s="31" t="inlineStr">
        <is>
          <t>$18,400,000</t>
        </is>
      </c>
      <c r="C25" s="31" t="inlineStr">
        <is>
          <t>$18,400,000</t>
        </is>
      </c>
      <c r="D25" s="31" t="inlineStr">
        <is>
          <t>$0</t>
        </is>
      </c>
      <c r="E25" s="31" t="inlineStr">
        <is>
          <t>Yes</t>
        </is>
      </c>
      <c r="F25" s="31" t="inlineStr">
        <is>
          <t>Starting point consistent</t>
        </is>
      </c>
    </row>
    <row r="26" ht="28" customHeight="1">
      <c r="A26" s="31" t="inlineStr">
        <is>
          <t>Litigation Settlement</t>
        </is>
      </c>
      <c r="B26" s="31" t="inlineStr">
        <is>
          <t>+$1,200,000</t>
        </is>
      </c>
      <c r="C26" s="31" t="inlineStr">
        <is>
          <t>Up to $500K only</t>
        </is>
      </c>
      <c r="D26" s="31" t="inlineStr">
        <is>
          <t>+$700,000 gap</t>
        </is>
      </c>
      <c r="E26" s="31" t="inlineStr">
        <is>
          <t>Partial only</t>
        </is>
      </c>
      <c r="F26" s="31" t="inlineStr">
        <is>
          <t>Bank caps non-recurring at $500K/yr total</t>
        </is>
      </c>
    </row>
    <row r="27" ht="28" customHeight="1">
      <c r="A27" s="31" t="inlineStr">
        <is>
          <t>Owner Comp Normalization</t>
        </is>
      </c>
      <c r="B27" s="31" t="inlineStr">
        <is>
          <t>+$950,000</t>
        </is>
      </c>
      <c r="C27" s="31" t="inlineStr">
        <is>
          <t>$0</t>
        </is>
      </c>
      <c r="D27" s="31" t="inlineStr">
        <is>
          <t>+$950,000 gap</t>
        </is>
      </c>
      <c r="E27" s="31" t="inlineStr">
        <is>
          <t>No — expressly excluded</t>
        </is>
      </c>
      <c r="F27" s="31" t="inlineStr">
        <is>
          <t>Bank definition expressly excludes comp normalization</t>
        </is>
      </c>
    </row>
    <row r="28" ht="28" customHeight="1">
      <c r="A28" s="31" t="inlineStr">
        <is>
          <t>ERP Implementation Costs</t>
        </is>
      </c>
      <c r="B28" s="31" t="inlineStr">
        <is>
          <t>+$650,000</t>
        </is>
      </c>
      <c r="C28" s="31" t="inlineStr">
        <is>
          <t>$0</t>
        </is>
      </c>
      <c r="D28" s="31" t="inlineStr">
        <is>
          <t>+$650,000 gap</t>
        </is>
      </c>
      <c r="E28" s="31" t="inlineStr">
        <is>
          <t>No — expressly excluded</t>
        </is>
      </c>
      <c r="F28" s="31" t="inlineStr">
        <is>
          <t>Bank definition expressly excludes restructuring adjustments</t>
        </is>
      </c>
    </row>
    <row r="29" ht="28" customHeight="1">
      <c r="A29" s="31" t="inlineStr">
        <is>
          <t>Pinnacle Integration Costs</t>
        </is>
      </c>
      <c r="B29" s="31" t="inlineStr">
        <is>
          <t>+$800,000</t>
        </is>
      </c>
      <c r="C29" s="31" t="inlineStr">
        <is>
          <t>$0</t>
        </is>
      </c>
      <c r="D29" s="31" t="inlineStr">
        <is>
          <t>+$800,000 gap</t>
        </is>
      </c>
      <c r="E29" s="31" t="inlineStr">
        <is>
          <t>No — expressly excluded</t>
        </is>
      </c>
      <c r="F29" s="31" t="inlineStr">
        <is>
          <t>Bank definition expressly excludes synergy/integration adjustments</t>
        </is>
      </c>
    </row>
    <row r="30" ht="28" customHeight="1">
      <c r="A30" s="31" t="inlineStr">
        <is>
          <t>Asbestos Wind-Down Costs</t>
        </is>
      </c>
      <c r="B30" s="31" t="inlineStr">
        <is>
          <t>+$1,800,000</t>
        </is>
      </c>
      <c r="C30" s="31" t="inlineStr">
        <is>
          <t>$0</t>
        </is>
      </c>
      <c r="D30" s="31" t="inlineStr">
        <is>
          <t>+$1,800,000 gap</t>
        </is>
      </c>
      <c r="E30" s="31" t="inlineStr">
        <is>
          <t>No — expressly excluded</t>
        </is>
      </c>
      <c r="F30" s="31" t="inlineStr">
        <is>
          <t>Bank definition expressly excludes discontinued operations</t>
        </is>
      </c>
    </row>
    <row r="31" ht="28" customHeight="1">
      <c r="A31" s="36" t="inlineStr">
        <is>
          <t>TOTAL ADJUSTED EBITDA</t>
        </is>
      </c>
      <c r="B31" s="36" t="inlineStr">
        <is>
          <t>$23,800,000 (QoE) / $22,800,000 (CIM)</t>
        </is>
      </c>
      <c r="C31" s="36" t="inlineStr">
        <is>
          <t>~$18,400,000</t>
        </is>
      </c>
      <c r="D31" s="36" t="inlineStr">
        <is>
          <t>~$5,400,000 gap</t>
        </is>
      </c>
      <c r="E31" s="36" t="inlineStr">
        <is>
          <t>—</t>
        </is>
      </c>
      <c r="F31" s="36" t="inlineStr">
        <is>
          <t>Bank leverage = 2.10x; Management leverage = 1.70x</t>
        </is>
      </c>
    </row>
    <row r="32" ht="28" customHeight="1">
      <c r="A32" s="31" t="inlineStr">
        <is>
          <t>Total Leverage Ratio</t>
        </is>
      </c>
      <c r="B32" s="31" t="inlineStr">
        <is>
          <t>1.70x (mgmt)</t>
        </is>
      </c>
      <c r="C32" s="31" t="inlineStr">
        <is>
          <t>2.10x (bank)</t>
        </is>
      </c>
      <c r="D32" s="31" t="inlineStr">
        <is>
          <t>0.40x difference</t>
        </is>
      </c>
      <c r="E32" s="31" t="inlineStr">
        <is>
          <t>—</t>
        </is>
      </c>
      <c r="F32" s="31" t="inlineStr">
        <is>
          <t>Bank covenant max = 3.50x; both within limit but gap is material for financing</t>
        </is>
      </c>
    </row>
  </sheetData>
  <mergeCells count="4">
    <mergeCell ref="A3:F3"/>
    <mergeCell ref="A1:F1"/>
    <mergeCell ref="A12:F12"/>
    <mergeCell ref="A23:F2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  <col width="20" customWidth="1" min="4" max="4"/>
  </cols>
  <sheetData>
    <row r="1" ht="26" customHeight="1">
      <c r="A1" s="20" t="inlineStr">
        <is>
          <t>LABOR RELATIONS &amp; HUMAN CAPITAL — DETAILED ANALYSIS</t>
        </is>
      </c>
    </row>
    <row r="3" ht="20" customHeight="1">
      <c r="A3" s="41" t="inlineStr">
        <is>
          <t>NLRB UNIONIZATION PETITION — TEAMSTERS LOCAL 455 (RF-18)</t>
        </is>
      </c>
    </row>
    <row r="4" ht="24" customHeight="1">
      <c r="A4" s="42" t="inlineStr">
        <is>
          <t>Filing Date</t>
        </is>
      </c>
      <c r="B4" s="23" t="inlineStr">
        <is>
          <t>November 4, 2024</t>
        </is>
      </c>
    </row>
    <row r="5" ht="24" customHeight="1">
      <c r="A5" s="42" t="inlineStr">
        <is>
          <t>Union</t>
        </is>
      </c>
      <c r="B5" s="23" t="inlineStr">
        <is>
          <t>International Brotherhood of Teamsters Local 455</t>
        </is>
      </c>
    </row>
    <row r="6" ht="24" customHeight="1">
      <c r="A6" s="42" t="inlineStr">
        <is>
          <t>Bargaining Unit</t>
        </is>
      </c>
      <c r="B6" s="23" t="inlineStr">
        <is>
          <t>62 field technicians at Grand Junction, CO and Casper, WY facilities</t>
        </is>
      </c>
    </row>
    <row r="7" ht="24" customHeight="1">
      <c r="A7" s="42" t="inlineStr">
        <is>
          <t>% of Workforce</t>
        </is>
      </c>
      <c r="B7" s="23" t="inlineStr">
        <is>
          <t>~12.8% of 485 total employees; ~20% of field technicians at two largest facilities</t>
        </is>
      </c>
    </row>
    <row r="8" ht="24" customHeight="1">
      <c r="A8" s="42" t="inlineStr">
        <is>
          <t>CIM Disclosure</t>
        </is>
      </c>
      <c r="B8" s="23" t="inlineStr">
        <is>
          <t>NOT DISCLOSED in CIM — disclosed only in Employee Benefits Summary §7 footnote</t>
        </is>
      </c>
    </row>
    <row r="9" ht="24" customHeight="1">
      <c r="A9" s="42" t="inlineStr">
        <is>
          <t>CIM Representation</t>
        </is>
      </c>
      <c r="B9" s="23" t="inlineStr">
        <is>
          <t>CIM states workforce is 'entirely non-unionized' — materially incomplete as of Nov 4, 2024</t>
        </is>
      </c>
    </row>
    <row r="10" ht="24" customHeight="1">
      <c r="A10" s="42" t="inlineStr">
        <is>
          <t>Credit Agreement Risk</t>
        </is>
      </c>
      <c r="B10" s="23" t="inlineStr">
        <is>
          <t>Labor dispute lasting &gt;10 business days = Event of Default under credit agreement</t>
        </is>
      </c>
    </row>
    <row r="11" ht="24" customHeight="1">
      <c r="A11" s="42" t="inlineStr">
        <is>
          <t>Financial Impact if Successful</t>
        </is>
      </c>
      <c r="B11" s="23" t="inlineStr">
        <is>
          <t>Higher labor costs, reduced scheduling flexibility, potential work stoppages, grievance procedures</t>
        </is>
      </c>
    </row>
    <row r="12" ht="24" customHeight="1">
      <c r="A12" s="42" t="inlineStr">
        <is>
          <t>MAC Implications</t>
        </is>
      </c>
      <c r="B12" s="23" t="inlineStr">
        <is>
          <t>Buyer should assess whether NLRB petition constitutes Material Adverse Change under LOI</t>
        </is>
      </c>
    </row>
    <row r="13" ht="24" customHeight="1">
      <c r="A13" s="42" t="inlineStr">
        <is>
          <t>Action Required</t>
        </is>
      </c>
      <c r="B13" s="23" t="inlineStr">
        <is>
          <t>Full briefing from management and labor counsel; assess election likelihood; evaluate MAC; include NLRB rep/warranty in SPA</t>
        </is>
      </c>
    </row>
    <row r="15" ht="20" customHeight="1">
      <c r="A15" s="43" t="inlineStr">
        <is>
          <t>FLSA WAGE CLAIM — FORMER ASBESTOS EMPLOYEES (RF-19)</t>
        </is>
      </c>
    </row>
    <row r="16" ht="22" customHeight="1">
      <c r="A16" s="44" t="inlineStr">
        <is>
          <t>Date of Demand Letter</t>
        </is>
      </c>
      <c r="B16" s="23" t="inlineStr">
        <is>
          <t>October 2024</t>
        </is>
      </c>
    </row>
    <row r="17" ht="22" customHeight="1">
      <c r="A17" s="44" t="inlineStr">
        <is>
          <t>Claimants</t>
        </is>
      </c>
      <c r="B17" s="23" t="inlineStr">
        <is>
          <t>8 former field technicians terminated in asbestos abatement wind-down (2023)</t>
        </is>
      </c>
    </row>
    <row r="18" ht="22" customHeight="1">
      <c r="A18" s="44" t="inlineStr">
        <is>
          <t>Claims</t>
        </is>
      </c>
      <c r="B18" s="23" t="inlineStr">
        <is>
          <t>Unpaid overtime in violation of FLSA and Colorado COMPS Order</t>
        </is>
      </c>
    </row>
    <row r="19" ht="22" customHeight="1">
      <c r="A19" s="44" t="inlineStr">
        <is>
          <t>Amount Claimed</t>
        </is>
      </c>
      <c r="B19" s="23" t="inlineStr">
        <is>
          <t>$165,000 unpaid wages + $165,000 FLSA liquidated damages = $330,000 total</t>
        </is>
      </c>
    </row>
    <row r="20" ht="22" customHeight="1">
      <c r="A20" s="44" t="inlineStr">
        <is>
          <t>Management Estimate</t>
        </is>
      </c>
      <c r="B20" s="23" t="inlineStr">
        <is>
          <t>$100,000–$200,000 exposure</t>
        </is>
      </c>
    </row>
    <row r="21" ht="22" customHeight="1">
      <c r="A21" s="44" t="inlineStr">
        <is>
          <t>Accrual</t>
        </is>
      </c>
      <c r="B21" s="23" t="inlineStr">
        <is>
          <t>$0 (no accrual recorded)</t>
        </is>
      </c>
    </row>
    <row r="22" ht="22" customHeight="1">
      <c r="A22" s="44" t="inlineStr">
        <is>
          <t>Defense</t>
        </is>
      </c>
      <c r="B22" s="23" t="inlineStr">
        <is>
          <t>Motor carrier exemption (29 U.S.C. §13(b)(1)) asserted for some claimants</t>
        </is>
      </c>
    </row>
    <row r="23" ht="22" customHeight="1">
      <c r="A23" s="44" t="inlineStr">
        <is>
          <t>Broader Risk</t>
        </is>
      </c>
      <c r="B23" s="23" t="inlineStr">
        <is>
          <t>Wage/hour compliance risk across broader field workforce; potential class action expansion</t>
        </is>
      </c>
    </row>
    <row r="24" ht="22" customHeight="1">
      <c r="A24" s="44" t="inlineStr">
        <is>
          <t>Action Required</t>
        </is>
      </c>
      <c r="B24" s="23" t="inlineStr">
        <is>
          <t>Full wage/hour compliance review across all field personnel; require accrual in closing balance sheet</t>
        </is>
      </c>
    </row>
    <row r="26" ht="20" customHeight="1">
      <c r="A26" s="29" t="inlineStr">
        <is>
          <t>KEY PERSON RISK SUMMARY</t>
        </is>
      </c>
    </row>
    <row r="27" ht="32" customHeight="1">
      <c r="A27" s="30" t="inlineStr">
        <is>
          <t>Executive</t>
        </is>
      </c>
      <c r="B27" s="30" t="inlineStr">
        <is>
          <t>Key Person Risk</t>
        </is>
      </c>
      <c r="C27" s="30" t="inlineStr">
        <is>
          <t>Non-Compete (Post-Term)</t>
        </is>
      </c>
      <c r="D27" s="30" t="inlineStr">
        <is>
          <t>Post-Closing Retention</t>
        </is>
      </c>
    </row>
    <row r="28" ht="45" customHeight="1">
      <c r="A28" s="31" t="inlineStr">
        <is>
          <t>Derek Calloway (CEO)</t>
        </is>
      </c>
      <c r="B28" s="31" t="inlineStr">
        <is>
          <t>Primary DOE relationship; government contracting; regulatory affairs; credit agreement requires CEO continuity (departure = Event of Default)</t>
        </is>
      </c>
      <c r="C28" s="31" t="inlineStr">
        <is>
          <t>2 yrs, CO/UT/WY/MT/ID</t>
        </is>
      </c>
      <c r="D28" s="31" t="inlineStr">
        <is>
          <t>Single-trigger CoC severance payable at closing; post-closing employment terms not yet negotiated</t>
        </is>
      </c>
    </row>
    <row r="29" ht="45" customHeight="1">
      <c r="A29" s="31" t="inlineStr">
        <is>
          <t>Jason Calloway (COO)</t>
        </is>
      </c>
      <c r="B29" s="31" t="inlineStr">
        <is>
          <t>All field operations; 11 facilities; fleet management; safety compliance; 15+ yr institutional knowledge</t>
        </is>
      </c>
      <c r="C29" s="31" t="inlineStr">
        <is>
          <t>2 yrs, CO/UT/WY/MT/ID</t>
        </is>
      </c>
      <c r="D29" s="31" t="inlineStr">
        <is>
          <t>Single-trigger CoC severance payable at closing; post-closing employment terms not yet negotiated</t>
        </is>
      </c>
    </row>
    <row r="30" ht="45" customHeight="1">
      <c r="A30" s="31" t="inlineStr">
        <is>
          <t>Patricia Engel (CFO)</t>
        </is>
      </c>
      <c r="B30" s="31" t="inlineStr">
        <is>
          <t>Financial reporting; banking relationships; QoE primary contact; permit compliance oversight</t>
        </is>
      </c>
      <c r="C30" s="31" t="inlineStr">
        <is>
          <t>2 yrs, CO/UT/WY/MT/ID</t>
        </is>
      </c>
      <c r="D30" s="31" t="inlineStr">
        <is>
          <t>Double-trigger; retention at risk if duties diminished post-closing</t>
        </is>
      </c>
    </row>
    <row r="31" ht="45" customHeight="1">
      <c r="A31" s="31" t="inlineStr">
        <is>
          <t>Kurt Dillon (VP Ops)</t>
        </is>
      </c>
      <c r="B31" s="31" t="inlineStr">
        <is>
          <t>Day-to-day operations at GJ, Casper, Billings; primary regulatory compliance contact</t>
        </is>
      </c>
      <c r="C31" s="31" t="inlineStr">
        <is>
          <t>2 yrs, CO/UT/WY/MT/ID</t>
        </is>
      </c>
      <c r="D31" s="31" t="inlineStr">
        <is>
          <t>Double-trigger; retention at risk if duties diminished post-closing</t>
        </is>
      </c>
    </row>
    <row r="32" ht="45" customHeight="1">
      <c r="A32" s="31" t="inlineStr">
        <is>
          <t>Sandra Oakes (VP BD)</t>
        </is>
      </c>
      <c r="B32" s="31" t="inlineStr">
        <is>
          <t>DOE contract management; CMMC relationship; business development pipeline</t>
        </is>
      </c>
      <c r="C32" s="31" t="inlineStr">
        <is>
          <t>2 yrs, CO/UT/WY/MT/ID</t>
        </is>
      </c>
      <c r="D32" s="31" t="inlineStr">
        <is>
          <t>Double-trigger; retention at risk if duties diminished post-closing</t>
        </is>
      </c>
    </row>
  </sheetData>
  <mergeCells count="4">
    <mergeCell ref="A1:D1"/>
    <mergeCell ref="A26:D26"/>
    <mergeCell ref="A3:D3"/>
    <mergeCell ref="A15:D1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16" customWidth="1" min="3" max="3"/>
    <col width="12" customWidth="1" min="4" max="4"/>
    <col width="24" customWidth="1" min="5" max="5"/>
    <col width="16" customWidth="1" min="6" max="6"/>
    <col width="14" customWidth="1" min="7" max="7"/>
    <col width="34" customWidth="1" min="8" max="8"/>
  </cols>
  <sheetData>
    <row r="1" ht="26" customHeight="1">
      <c r="A1" s="20" t="inlineStr">
        <is>
          <t>PROJECT RIDGELINE — PRE-CLOSING ACTION ITEM LOG (19 ITEMS)</t>
        </is>
      </c>
    </row>
    <row r="2" ht="32" customHeight="1">
      <c r="A2" s="30" t="inlineStr">
        <is>
          <t>#</t>
        </is>
      </c>
      <c r="B2" s="30" t="inlineStr">
        <is>
          <t>Action Item</t>
        </is>
      </c>
      <c r="C2" s="30" t="inlineStr">
        <is>
          <t>Related Red Flag(s)</t>
        </is>
      </c>
      <c r="D2" s="30" t="inlineStr">
        <is>
          <t>Priority</t>
        </is>
      </c>
      <c r="E2" s="30" t="inlineStr">
        <is>
          <t>Responsible Party</t>
        </is>
      </c>
      <c r="F2" s="30" t="inlineStr">
        <is>
          <t>Target Deadline</t>
        </is>
      </c>
      <c r="G2" s="30" t="inlineStr">
        <is>
          <t>Status</t>
        </is>
      </c>
      <c r="H2" s="30" t="inlineStr">
        <is>
          <t>Notes</t>
        </is>
      </c>
    </row>
    <row r="3" ht="48" customHeight="1">
      <c r="A3" s="22" t="n">
        <v>1</v>
      </c>
      <c r="B3" s="23" t="inlineStr">
        <is>
          <t>Demand full reconciliation of $1.0M EBITDA discrepancy between CIM ($22.8M) and QoE workbook ($23.8M); do not proceed to SPA without resolution</t>
        </is>
      </c>
      <c r="C3" s="45" t="inlineStr">
        <is>
          <t>RF-01</t>
        </is>
      </c>
      <c r="D3" s="24" t="inlineStr">
        <is>
          <t>CRITICAL</t>
        </is>
      </c>
      <c r="E3" s="23" t="inlineStr">
        <is>
          <t>Buyer / Bridgewater Forsyth Group</t>
        </is>
      </c>
      <c r="F3" s="46" t="inlineStr">
        <is>
          <t>Before SPA signing</t>
        </is>
      </c>
      <c r="G3" s="24" t="inlineStr">
        <is>
          <t>Open</t>
        </is>
      </c>
      <c r="H3" s="25" t="inlineStr">
        <is>
          <t>Entire $182–205M EV anchored to this figure</t>
        </is>
      </c>
    </row>
    <row r="4" ht="48" customHeight="1">
      <c r="A4" s="22" t="n">
        <v>2</v>
      </c>
      <c r="B4" s="23" t="inlineStr">
        <is>
          <t>Contact DOE Contracting Officer to assess novation requirements and ceiling modification prospects; make CO approval a hard closing condition</t>
        </is>
      </c>
      <c r="C4" s="45" t="inlineStr">
        <is>
          <t>RF-05, RF-06</t>
        </is>
      </c>
      <c r="D4" s="24" t="inlineStr">
        <is>
          <t>CRITICAL</t>
        </is>
      </c>
      <c r="E4" s="23" t="inlineStr">
        <is>
          <t>Buyer's counsel / Management</t>
        </is>
      </c>
      <c r="F4" s="46" t="inlineStr">
        <is>
          <t>Immediate</t>
        </is>
      </c>
      <c r="G4" s="24" t="inlineStr">
        <is>
          <t>Open</t>
        </is>
      </c>
      <c r="H4" s="25" t="inlineStr">
        <is>
          <t>Do not close without written DOE confirmation</t>
        </is>
      </c>
    </row>
    <row r="5" ht="48" customHeight="1">
      <c r="A5" s="22" t="n">
        <v>3</v>
      </c>
      <c r="B5" s="23" t="inlineStr">
        <is>
          <t>Commission updated Phase II ESA and vapor intrusion assessment at Grand Junction facility; do not close without current environmental data</t>
        </is>
      </c>
      <c r="C5" s="45" t="inlineStr">
        <is>
          <t>RF-09</t>
        </is>
      </c>
      <c r="D5" s="24" t="inlineStr">
        <is>
          <t>CRITICAL</t>
        </is>
      </c>
      <c r="E5" s="23" t="inlineStr">
        <is>
          <t>Buyer / Environmental consultant</t>
        </is>
      </c>
      <c r="F5" s="46" t="inlineStr">
        <is>
          <t>Immediate</t>
        </is>
      </c>
      <c r="G5" s="24" t="inlineStr">
        <is>
          <t>Open</t>
        </is>
      </c>
      <c r="H5" s="25" t="inlineStr">
        <is>
          <t>2019 ESA is 5+ years stale; ESA itself recommends update before any transaction</t>
        </is>
      </c>
    </row>
    <row r="6" ht="48" customHeight="1">
      <c r="A6" s="22" t="n">
        <v>4</v>
      </c>
      <c r="B6" s="23" t="inlineStr">
        <is>
          <t>Engage Wasatch Industrial Properties, LLC to resolve SLC lease assignment (Pinnacle to RES and Sycamore); make landlord consent a hard closing condition</t>
        </is>
      </c>
      <c r="C6" s="45" t="inlineStr">
        <is>
          <t>RF-20, RF-14</t>
        </is>
      </c>
      <c r="D6" s="24" t="inlineStr">
        <is>
          <t>CRITICAL</t>
        </is>
      </c>
      <c r="E6" s="23" t="inlineStr">
        <is>
          <t>Buyer's counsel / Management</t>
        </is>
      </c>
      <c r="F6" s="46" t="inlineStr">
        <is>
          <t>Immediate</t>
        </is>
      </c>
      <c r="G6" s="24" t="inlineStr">
        <is>
          <t>Open</t>
        </is>
      </c>
      <c r="H6" s="25" t="inlineStr">
        <is>
          <t>Dual assignment default; landlord inquiry received Nov 2024</t>
        </is>
      </c>
    </row>
    <row r="7" ht="48" customHeight="1">
      <c r="A7" s="22" t="n">
        <v>5</v>
      </c>
      <c r="B7" s="23" t="inlineStr">
        <is>
          <t>Arrange acquisition financing sufficient to repay $39.2M credit facility at closing; obtain payoff letter from High Plains National Bank</t>
        </is>
      </c>
      <c r="C7" s="45" t="inlineStr">
        <is>
          <t>RF-15</t>
        </is>
      </c>
      <c r="D7" s="24" t="inlineStr">
        <is>
          <t>CRITICAL</t>
        </is>
      </c>
      <c r="E7" s="23" t="inlineStr">
        <is>
          <t>Buyer / Acquisition lender</t>
        </is>
      </c>
      <c r="F7" s="46" t="inlineStr">
        <is>
          <t>Before SPA signing</t>
        </is>
      </c>
      <c r="G7" s="24" t="inlineStr">
        <is>
          <t>Open</t>
        </is>
      </c>
      <c r="H7" s="25" t="inlineStr">
        <is>
          <t>5-business-day mandatory prepayment window; no waiver mechanism</t>
        </is>
      </c>
    </row>
    <row r="8" ht="48" customHeight="1">
      <c r="A8" s="22" t="n">
        <v>6</v>
      </c>
      <c r="B8" s="23" t="inlineStr">
        <is>
          <t>Negotiate conversion of Calloway single-trigger CoC severance ($2.625M) to double-trigger in exchange for retention incentives</t>
        </is>
      </c>
      <c r="C8" s="45" t="inlineStr">
        <is>
          <t>RF-17</t>
        </is>
      </c>
      <c r="D8" s="24" t="inlineStr">
        <is>
          <t>CRITICAL</t>
        </is>
      </c>
      <c r="E8" s="23" t="inlineStr">
        <is>
          <t>Buyer's counsel / Sellers' counsel</t>
        </is>
      </c>
      <c r="F8" s="46" t="inlineStr">
        <is>
          <t>Before SPA signing</t>
        </is>
      </c>
      <c r="G8" s="24" t="inlineStr">
        <is>
          <t>Open</t>
        </is>
      </c>
      <c r="H8" s="25" t="inlineStr">
        <is>
          <t>Reduces certain cash outflow at closing from $2.625M to $0 if employment continues</t>
        </is>
      </c>
    </row>
    <row r="9" ht="48" customHeight="1">
      <c r="A9" s="22" t="n">
        <v>7</v>
      </c>
      <c r="B9" s="23" t="inlineStr">
        <is>
          <t>Obtain independent fleet appraisal; recast normalized maintenance capex at $7.0–8.0M; adjust purchase price for capex understatement</t>
        </is>
      </c>
      <c r="C9" s="45" t="inlineStr">
        <is>
          <t>RF-04</t>
        </is>
      </c>
      <c r="D9" s="27" t="inlineStr">
        <is>
          <t>HIGH</t>
        </is>
      </c>
      <c r="E9" s="23" t="inlineStr">
        <is>
          <t>Buyer / Fleet appraiser</t>
        </is>
      </c>
      <c r="F9" s="46" t="inlineStr">
        <is>
          <t>Before SPA signing</t>
        </is>
      </c>
      <c r="G9" s="24" t="inlineStr">
        <is>
          <t>Open</t>
        </is>
      </c>
      <c r="H9" s="25" t="inlineStr">
        <is>
          <t>38/85 units past useful life; $9.8M replacement backlog</t>
        </is>
      </c>
    </row>
    <row r="10" ht="48" customHeight="1">
      <c r="A10" s="22" t="n">
        <v>8</v>
      </c>
      <c r="B10" s="23" t="inlineStr">
        <is>
          <t>Obtain full briefing from management and labor counsel on NLRB Teamsters petition; assess election likelihood; evaluate MAC implications</t>
        </is>
      </c>
      <c r="C10" s="45" t="inlineStr">
        <is>
          <t>RF-18</t>
        </is>
      </c>
      <c r="D10" s="27" t="inlineStr">
        <is>
          <t>HIGH</t>
        </is>
      </c>
      <c r="E10" s="23" t="inlineStr">
        <is>
          <t>Buyer's counsel / Management</t>
        </is>
      </c>
      <c r="F10" s="46" t="inlineStr">
        <is>
          <t>Before SPA signing</t>
        </is>
      </c>
      <c r="G10" s="24" t="inlineStr">
        <is>
          <t>Open</t>
        </is>
      </c>
      <c r="H10" s="25" t="inlineStr">
        <is>
          <t>Disclosed only in footnote; not in CIM; credit agreement Event of Default risk</t>
        </is>
      </c>
    </row>
    <row r="11" ht="48" customHeight="1">
      <c r="A11" s="22" t="n">
        <v>9</v>
      </c>
      <c r="B11" s="23" t="inlineStr">
        <is>
          <t>Confirm Ramirez insurance coverage determination from Frontier Specialty Insurance Group; reservation of rights issued Sep 19, 2024</t>
        </is>
      </c>
      <c r="C11" s="45" t="inlineStr">
        <is>
          <t>RF-21</t>
        </is>
      </c>
      <c r="D11" s="27" t="inlineStr">
        <is>
          <t>HIGH</t>
        </is>
      </c>
      <c r="E11" s="23" t="inlineStr">
        <is>
          <t>Management / Insurance broker</t>
        </is>
      </c>
      <c r="F11" s="46" t="inlineStr">
        <is>
          <t>Before SPA signing</t>
        </is>
      </c>
      <c r="G11" s="24" t="inlineStr">
        <is>
          <t>Open</t>
        </is>
      </c>
      <c r="H11" s="25" t="inlineStr">
        <is>
          <t>Coverage under CGL and PLL both uncertain; $4.8M claimed</t>
        </is>
      </c>
    </row>
    <row r="12" ht="48" customHeight="1">
      <c r="A12" s="22" t="n">
        <v>10</v>
      </c>
      <c r="B12" s="23" t="inlineStr">
        <is>
          <t>Require resolution of CDPHE enforcement action (CDPHE-HW-2024-0093) before closing or negotiate specific indemnity escrow; accrue full management estimate</t>
        </is>
      </c>
      <c r="C12" s="45" t="inlineStr">
        <is>
          <t>RF-12</t>
        </is>
      </c>
      <c r="D12" s="27" t="inlineStr">
        <is>
          <t>HIGH</t>
        </is>
      </c>
      <c r="E12" s="23" t="inlineStr">
        <is>
          <t>Buyer's counsel / Sellers' counsel</t>
        </is>
      </c>
      <c r="F12" s="46" t="inlineStr">
        <is>
          <t>Before SPA signing</t>
        </is>
      </c>
      <c r="G12" s="24" t="inlineStr">
        <is>
          <t>Open</t>
        </is>
      </c>
      <c r="H12" s="25" t="inlineStr">
        <is>
          <t>No accrual recorded; penalty up to $1.16M; settlement conference Q1 2025</t>
        </is>
      </c>
    </row>
    <row r="13" ht="48" customHeight="1">
      <c r="A13" s="22" t="n">
        <v>11</v>
      </c>
      <c r="B13" s="23" t="inlineStr">
        <is>
          <t>Obtain written Wyoming DEQ confirmation of permit renewal status and timeline; make permit renewal a closing condition</t>
        </is>
      </c>
      <c r="C13" s="45" t="inlineStr">
        <is>
          <t>RF-13</t>
        </is>
      </c>
      <c r="D13" s="27" t="inlineStr">
        <is>
          <t>HIGH</t>
        </is>
      </c>
      <c r="E13" s="23" t="inlineStr">
        <is>
          <t>Management / Environmental counsel</t>
        </is>
      </c>
      <c r="F13" s="46" t="inlineStr">
        <is>
          <t>Before SPA signing</t>
        </is>
      </c>
      <c r="G13" s="24" t="inlineStr">
        <is>
          <t>Open</t>
        </is>
      </c>
      <c r="H13" s="25" t="inlineStr">
        <is>
          <t>Permit expired Nov 30, 2024; operating under timely renewal provisions</t>
        </is>
      </c>
    </row>
    <row r="14" ht="48" customHeight="1">
      <c r="A14" s="22" t="n">
        <v>12</v>
      </c>
      <c r="B14" s="23" t="inlineStr">
        <is>
          <t>Require completion of Utah permit transfer (UTH-0441) as closing condition; engage Utah Division of Waste Management</t>
        </is>
      </c>
      <c r="C14" s="45" t="inlineStr">
        <is>
          <t>RF-14</t>
        </is>
      </c>
      <c r="D14" s="27" t="inlineStr">
        <is>
          <t>HIGH</t>
        </is>
      </c>
      <c r="E14" s="23" t="inlineStr">
        <is>
          <t>Management / Environmental counsel</t>
        </is>
      </c>
      <c r="F14" s="46" t="inlineStr">
        <is>
          <t>Before SPA signing</t>
        </is>
      </c>
      <c r="G14" s="24" t="inlineStr">
        <is>
          <t>Open</t>
        </is>
      </c>
      <c r="H14" s="25" t="inlineStr">
        <is>
          <t>Transfer pending since Apr 2022; 2.5 years unresolved</t>
        </is>
      </c>
    </row>
    <row r="15" ht="48" customHeight="1">
      <c r="A15" s="22" t="n">
        <v>13</v>
      </c>
      <c r="B15" s="23" t="inlineStr">
        <is>
          <t>Map all customer contract CoC/assignment consent requirements; initiate consent solicitation process immediately; make material consents a closing condition</t>
        </is>
      </c>
      <c r="C15" s="45" t="inlineStr">
        <is>
          <t>RF-07</t>
        </is>
      </c>
      <c r="D15" s="27" t="inlineStr">
        <is>
          <t>HIGH</t>
        </is>
      </c>
      <c r="E15" s="23" t="inlineStr">
        <is>
          <t>Buyer's counsel / Management</t>
        </is>
      </c>
      <c r="F15" s="46" t="inlineStr">
        <is>
          <t>Before SPA signing</t>
        </is>
      </c>
      <c r="G15" s="24" t="inlineStr">
        <is>
          <t>Open</t>
        </is>
      </c>
      <c r="H15" s="25" t="inlineStr">
        <is>
          <t>8 of top 20 contracts have CoC provisions covering $28.6M revenue</t>
        </is>
      </c>
    </row>
    <row r="16" ht="48" customHeight="1">
      <c r="A16" s="22" t="n">
        <v>14</v>
      </c>
      <c r="B16" s="23" t="inlineStr">
        <is>
          <t>Obtain CMMC comfort letter; confirm MSA auto-renewal before closing; assess whether longer-term contract can be negotiated pre-closing</t>
        </is>
      </c>
      <c r="C16" s="45" t="inlineStr">
        <is>
          <t>RF-08</t>
        </is>
      </c>
      <c r="D16" s="27" t="inlineStr">
        <is>
          <t>HIGH</t>
        </is>
      </c>
      <c r="E16" s="23" t="inlineStr">
        <is>
          <t>Management / Buyer</t>
        </is>
      </c>
      <c r="F16" s="46" t="inlineStr">
        <is>
          <t>Before SPA signing</t>
        </is>
      </c>
      <c r="G16" s="24" t="inlineStr">
        <is>
          <t>Open</t>
        </is>
      </c>
      <c r="H16" s="25" t="inlineStr">
        <is>
          <t>$14.5M revenue; 60-day termination for convenience; no minimum volumes</t>
        </is>
      </c>
    </row>
    <row r="17" ht="48" customHeight="1">
      <c r="A17" s="22" t="n">
        <v>15</v>
      </c>
      <c r="B17" s="23" t="inlineStr">
        <is>
          <t>Require PLL tail coverage at closing; treat cost as Transaction Expense; 36-month tail at 150% of expiring premium</t>
        </is>
      </c>
      <c r="C17" s="45" t="inlineStr">
        <is>
          <t>RF-21</t>
        </is>
      </c>
      <c r="D17" s="28" t="inlineStr">
        <is>
          <t>MEDIUM</t>
        </is>
      </c>
      <c r="E17" s="23" t="inlineStr">
        <is>
          <t>Management / Insurance broker</t>
        </is>
      </c>
      <c r="F17" s="46" t="inlineStr">
        <is>
          <t>Before closing</t>
        </is>
      </c>
      <c r="G17" s="24" t="inlineStr">
        <is>
          <t>Open</t>
        </is>
      </c>
      <c r="H17" s="25" t="inlineStr">
        <is>
          <t>Claims-made policy; CoC may affect post-closing claim reporting</t>
        </is>
      </c>
    </row>
    <row r="18" ht="48" customHeight="1">
      <c r="A18" s="22" t="n">
        <v>16</v>
      </c>
      <c r="B18" s="23" t="inlineStr">
        <is>
          <t>Full wage/hour compliance review across all field personnel; require accrual of $100–200K in closing balance sheet</t>
        </is>
      </c>
      <c r="C18" s="45" t="inlineStr">
        <is>
          <t>RF-19</t>
        </is>
      </c>
      <c r="D18" s="28" t="inlineStr">
        <is>
          <t>MEDIUM</t>
        </is>
      </c>
      <c r="E18" s="23" t="inlineStr">
        <is>
          <t>Buyer's counsel / HR consultant</t>
        </is>
      </c>
      <c r="F18" s="46" t="inlineStr">
        <is>
          <t>Before SPA signing</t>
        </is>
      </c>
      <c r="G18" s="24" t="inlineStr">
        <is>
          <t>Open</t>
        </is>
      </c>
      <c r="H18" s="25" t="inlineStr">
        <is>
          <t>Assess motor carrier exemption defense strength; broader class action risk</t>
        </is>
      </c>
    </row>
    <row r="19" ht="48" customHeight="1">
      <c r="A19" s="22" t="n">
        <v>17</v>
      </c>
      <c r="B19" s="23" t="inlineStr">
        <is>
          <t>Obtain full asbestos claims history; evaluate asbestos-specific tail policy; negotiate specific asbestos indemnity in SPA with extended survival</t>
        </is>
      </c>
      <c r="C19" s="45" t="inlineStr">
        <is>
          <t>RF-11</t>
        </is>
      </c>
      <c r="D19" s="28" t="inlineStr">
        <is>
          <t>MEDIUM</t>
        </is>
      </c>
      <c r="E19" s="23" t="inlineStr">
        <is>
          <t>Buyer's counsel / Insurance broker</t>
        </is>
      </c>
      <c r="F19" s="46" t="inlineStr">
        <is>
          <t>Before SPA signing</t>
        </is>
      </c>
      <c r="G19" s="24" t="inlineStr">
        <is>
          <t>Open</t>
        </is>
      </c>
      <c r="H19" s="25" t="inlineStr">
        <is>
          <t>Pre-2015 work uninsured; two open WC claims; 145 sites over 11 years</t>
        </is>
      </c>
    </row>
    <row r="20" ht="48" customHeight="1">
      <c r="A20" s="22" t="n">
        <v>18</v>
      </c>
      <c r="B20" s="23" t="inlineStr">
        <is>
          <t>Confirm treatment of $3.775M CoC severance in SPA purchase price mechanism; confirm as Transaction Expense or buyer-borne cost</t>
        </is>
      </c>
      <c r="C20" s="45" t="inlineStr">
        <is>
          <t>RF-17</t>
        </is>
      </c>
      <c r="D20" s="27" t="inlineStr">
        <is>
          <t>HIGH</t>
        </is>
      </c>
      <c r="E20" s="23" t="inlineStr">
        <is>
          <t>Buyer's counsel / Sellers' counsel</t>
        </is>
      </c>
      <c r="F20" s="46" t="inlineStr">
        <is>
          <t>Before SPA signing</t>
        </is>
      </c>
      <c r="G20" s="24" t="inlineStr">
        <is>
          <t>Open</t>
        </is>
      </c>
      <c r="H20" s="25" t="inlineStr">
        <is>
          <t>LOI silent on this point; $2.625M is certain at closing</t>
        </is>
      </c>
    </row>
    <row r="21" ht="48" customHeight="1">
      <c r="A21" s="22" t="n">
        <v>19</v>
      </c>
      <c r="B21" s="23" t="inlineStr">
        <is>
          <t>Require Bridgewater Forsyth Group independent assessment of all five EBITDA add-back categories; obtain third-party invoices for each</t>
        </is>
      </c>
      <c r="C21" s="45" t="inlineStr">
        <is>
          <t>RF-02</t>
        </is>
      </c>
      <c r="D21" s="27" t="inlineStr">
        <is>
          <t>HIGH</t>
        </is>
      </c>
      <c r="E21" s="23" t="inlineStr">
        <is>
          <t>Buyer / Bridgewater Forsyth Group</t>
        </is>
      </c>
      <c r="F21" s="46" t="inlineStr">
        <is>
          <t>Before SPA signing</t>
        </is>
      </c>
      <c r="G21" s="24" t="inlineStr">
        <is>
          <t>Open</t>
        </is>
      </c>
      <c r="H21" s="25" t="inlineStr">
        <is>
          <t>Litigation settlement description inconsistent across documents</t>
        </is>
      </c>
    </row>
  </sheetData>
  <autoFilter ref="A2:H21"/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2026-08-25T10:15:28Z</dcterms:created>
  <dcterms:modified xmlns:dcterms="http://purl.org/dc/terms/" xmlns:xsi="http://www.w3.org/2001/XMLSchema-instance" xsi:type="dcterms:W3CDTF">2026-08-25T10:15:28Z</dcterms:modified>
</cp:coreProperties>
</file>