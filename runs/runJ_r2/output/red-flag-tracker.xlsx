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d Flag Tracker" sheetId="1" state="visible" r:id="rId1"/>
    <sheet xmlns:r="http://schemas.openxmlformats.org/officeDocument/2006/relationships" name="Financial Exposure Summary" sheetId="2" state="visible" r:id="rId2"/>
    <sheet xmlns:r="http://schemas.openxmlformats.org/officeDocument/2006/relationships" name="Pre-Closing Conditions" sheetId="3" state="visible" r:id="rId3"/>
    <sheet xmlns:r="http://schemas.openxmlformats.org/officeDocument/2006/relationships" name="Valuation Bridge"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color rgb="00FFFFFF"/>
      <sz val="10"/>
    </font>
    <font>
      <name val="Calibri"/>
      <b val="1"/>
      <color rgb="00FFFFFF"/>
      <sz val="10"/>
    </font>
    <font>
      <name val="Calibri"/>
      <b val="1"/>
      <color rgb="001A1A1A"/>
      <sz val="10"/>
    </font>
    <font>
      <name val="Calibri"/>
      <color rgb="001A1A1A"/>
      <sz val="10"/>
    </font>
    <font>
      <name val="Calibri"/>
      <b val="1"/>
      <color rgb="00FFFFFF"/>
      <sz val="13"/>
    </font>
    <font>
      <name val="Calibri"/>
      <i val="1"/>
      <color rgb="00555555"/>
      <sz val="9"/>
    </font>
  </fonts>
  <fills count="11">
    <fill>
      <patternFill/>
    </fill>
    <fill>
      <patternFill patternType="gray125"/>
    </fill>
    <fill>
      <patternFill patternType="solid">
        <fgColor rgb="001F2D3D"/>
      </patternFill>
    </fill>
    <fill>
      <patternFill patternType="solid">
        <fgColor rgb="002E4057"/>
      </patternFill>
    </fill>
    <fill>
      <patternFill patternType="solid">
        <fgColor rgb="00D6E4F0"/>
      </patternFill>
    </fill>
    <fill>
      <patternFill patternType="solid">
        <fgColor rgb="00BDC3C7"/>
      </patternFill>
    </fill>
    <fill>
      <patternFill patternType="solid">
        <fgColor rgb="00F2F6FA"/>
      </patternFill>
    </fill>
    <fill>
      <patternFill patternType="solid">
        <fgColor rgb="00C0392B"/>
      </patternFill>
    </fill>
    <fill>
      <patternFill patternType="solid">
        <fgColor rgb="00FFFFFF"/>
      </patternFill>
    </fill>
    <fill>
      <patternFill patternType="solid">
        <fgColor rgb="00E67E22"/>
      </patternFill>
    </fill>
    <fill>
      <patternFill patternType="solid">
        <fgColor rgb="00F1C40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0" fillId="4" borderId="0" pivotButton="0" quotePrefix="0" xfId="0"/>
    <xf numFmtId="0" fontId="3" fillId="2" borderId="1" applyAlignment="1" pivotButton="0" quotePrefix="0" xfId="0">
      <alignment horizontal="center" vertical="center" wrapText="1"/>
    </xf>
    <xf numFmtId="0" fontId="4" fillId="5" borderId="1" applyAlignment="1" pivotButton="0" quotePrefix="0" xfId="0">
      <alignment horizontal="left" vertical="center" indent="1"/>
    </xf>
    <xf numFmtId="0" fontId="4" fillId="6" borderId="1" applyAlignment="1" pivotButton="0" quotePrefix="0" xfId="0">
      <alignment horizontal="center" vertical="top"/>
    </xf>
    <xf numFmtId="0" fontId="5" fillId="6" borderId="1" applyAlignment="1" pivotButton="0" quotePrefix="0" xfId="0">
      <alignment horizontal="left" vertical="top" wrapText="1"/>
    </xf>
    <xf numFmtId="0" fontId="3" fillId="7" borderId="1" applyAlignment="1" pivotButton="0" quotePrefix="0" xfId="0">
      <alignment horizontal="center" vertical="center" wrapText="1"/>
    </xf>
    <xf numFmtId="0" fontId="4" fillId="8" borderId="1" applyAlignment="1" pivotButton="0" quotePrefix="0" xfId="0">
      <alignment horizontal="center" vertical="top"/>
    </xf>
    <xf numFmtId="0" fontId="5" fillId="8" borderId="1" applyAlignment="1" pivotButton="0" quotePrefix="0" xfId="0">
      <alignment horizontal="left" vertical="top" wrapText="1"/>
    </xf>
    <xf numFmtId="0" fontId="3"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6" fillId="2" borderId="0" applyAlignment="1" pivotButton="0" quotePrefix="0" xfId="0">
      <alignment horizontal="center" vertical="center"/>
    </xf>
    <xf numFmtId="0" fontId="4" fillId="8" borderId="1" applyAlignment="1" pivotButton="0" quotePrefix="0" xfId="0">
      <alignment horizontal="center" vertical="center"/>
    </xf>
    <xf numFmtId="0" fontId="3" fillId="7" borderId="1" applyAlignment="1" pivotButton="0" quotePrefix="0" xfId="0">
      <alignment horizontal="center" vertical="center"/>
    </xf>
    <xf numFmtId="3" fontId="5" fillId="8" borderId="1" applyAlignment="1" pivotButton="0" quotePrefix="0" xfId="0">
      <alignment horizontal="right" vertical="center"/>
    </xf>
    <xf numFmtId="3" fontId="4" fillId="8" borderId="1" applyAlignment="1" pivotButton="0" quotePrefix="0" xfId="0">
      <alignment horizontal="right" vertical="center"/>
    </xf>
    <xf numFmtId="0" fontId="4" fillId="6" borderId="1" applyAlignment="1" pivotButton="0" quotePrefix="0" xfId="0">
      <alignment horizontal="center" vertical="center"/>
    </xf>
    <xf numFmtId="0" fontId="3" fillId="9" borderId="1" applyAlignment="1" pivotButton="0" quotePrefix="0" xfId="0">
      <alignment horizontal="center" vertical="center"/>
    </xf>
    <xf numFmtId="3" fontId="5" fillId="6" borderId="1" applyAlignment="1" pivotButton="0" quotePrefix="0" xfId="0">
      <alignment horizontal="right" vertical="center"/>
    </xf>
    <xf numFmtId="3" fontId="4" fillId="6" borderId="1" applyAlignment="1" pivotButton="0" quotePrefix="0" xfId="0">
      <alignment horizontal="right" vertical="center"/>
    </xf>
    <xf numFmtId="0" fontId="4" fillId="10" borderId="1" applyAlignment="1" pivotButton="0" quotePrefix="0" xfId="0">
      <alignment horizontal="center" vertical="center"/>
    </xf>
    <xf numFmtId="0" fontId="3" fillId="2" borderId="1" applyAlignment="1" pivotButton="0" quotePrefix="0" xfId="0">
      <alignment horizontal="left" vertical="center" indent="1"/>
    </xf>
    <xf numFmtId="3" fontId="3" fillId="2" borderId="1" applyAlignment="1" pivotButton="0" quotePrefix="0" xfId="0">
      <alignment horizontal="right" vertical="center"/>
    </xf>
    <xf numFmtId="0" fontId="7" fillId="0" borderId="0" applyAlignment="1" pivotButton="0" quotePrefix="0" xfId="0">
      <alignment horizontal="left" vertical="top" wrapText="1"/>
    </xf>
    <xf numFmtId="0" fontId="4" fillId="8" borderId="1" applyAlignment="1" pivotButton="0" quotePrefix="0" xfId="0">
      <alignment horizontal="left" vertical="top" wrapText="1"/>
    </xf>
    <xf numFmtId="3" fontId="5" fillId="8" borderId="1" applyAlignment="1" pivotButton="0" quotePrefix="0" xfId="0">
      <alignment horizontal="right" vertical="top" wrapText="1"/>
    </xf>
    <xf numFmtId="0" fontId="5" fillId="4" borderId="1" pivotButton="0" quotePrefix="0" xfId="0"/>
    <xf numFmtId="0" fontId="4" fillId="6" borderId="1" applyAlignment="1" pivotButton="0" quotePrefix="0" xfId="0">
      <alignment horizontal="left" vertical="top" wrapText="1"/>
    </xf>
    <xf numFmtId="3" fontId="5" fillId="6" borderId="1" applyAlignment="1" pivotButton="0" quotePrefix="0" xfId="0">
      <alignment horizontal="right" vertical="top" wrapText="1"/>
    </xf>
    <xf numFmtId="0" fontId="3" fillId="2" borderId="1" applyAlignment="1" pivotButton="0" quotePrefix="0" xfId="0">
      <alignment horizontal="left" vertical="center" wrapText="1"/>
    </xf>
    <xf numFmtId="3" fontId="3" fillId="2" borderId="1"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
  <sheetViews>
    <sheetView showGridLines="0" workbookViewId="0">
      <pane ySplit="4" topLeftCell="A5" activePane="bottomLeft" state="frozen"/>
      <selection pane="bottomLeft" activeCell="A1" sqref="A1"/>
    </sheetView>
  </sheetViews>
  <sheetFormatPr baseColWidth="8" defaultRowHeight="15"/>
  <cols>
    <col width="7" customWidth="1" min="1" max="1"/>
    <col width="16" customWidth="1" min="2" max="2"/>
    <col width="30" customWidth="1" min="3" max="3"/>
    <col width="10" customWidth="1" min="4" max="4"/>
    <col width="28" customWidth="1" min="5" max="5"/>
    <col width="48" customWidth="1" min="6" max="6"/>
    <col width="22" customWidth="1" min="7" max="7"/>
    <col width="16" customWidth="1" min="8" max="8"/>
    <col width="18" customWidth="1" min="9" max="9"/>
    <col width="42" customWidth="1" min="10" max="10"/>
    <col width="14" customWidth="1" min="11" max="11"/>
    <col width="14" customWidth="1" min="12" max="12"/>
  </cols>
  <sheetData>
    <row r="1" ht="28" customHeight="1">
      <c r="A1" s="1" t="inlineStr">
        <is>
          <t>PROJECT RIDGELINE — DUE DILIGENCE RED FLAG TRACKER</t>
        </is>
      </c>
    </row>
    <row r="2" ht="18" customHeight="1">
      <c r="A2" s="2" t="inlineStr">
        <is>
          <t>Ridgeline Environmental Services, Inc. | Sycamore Capital Partners, LP | December 2024 | CONFIDENTIAL</t>
        </is>
      </c>
    </row>
    <row r="3" ht="6" customHeight="1">
      <c r="A3" s="3" t="inlineStr"/>
    </row>
    <row r="4" ht="32" customHeight="1">
      <c r="A4" s="4" t="inlineStr">
        <is>
          <t>RF #</t>
        </is>
      </c>
      <c r="B4" s="4" t="inlineStr">
        <is>
          <t>Category</t>
        </is>
      </c>
      <c r="C4" s="4" t="inlineStr">
        <is>
          <t>Red Flag Title</t>
        </is>
      </c>
      <c r="D4" s="4" t="inlineStr">
        <is>
          <t>Severity</t>
        </is>
      </c>
      <c r="E4" s="4" t="inlineStr">
        <is>
          <t>Source Document(s)</t>
        </is>
      </c>
      <c r="F4" s="4" t="inlineStr">
        <is>
          <t>Key Finding</t>
        </is>
      </c>
      <c r="G4" s="4" t="inlineStr">
        <is>
          <t>Est. Financial Exposure ($000s)</t>
        </is>
      </c>
      <c r="H4" s="4" t="inlineStr">
        <is>
          <t>Accrued / Reserved?</t>
        </is>
      </c>
      <c r="I4" s="4" t="inlineStr">
        <is>
          <t>Pre-Closing Condition?</t>
        </is>
      </c>
      <c r="J4" s="4" t="inlineStr">
        <is>
          <t>Recommended Action</t>
        </is>
      </c>
      <c r="K4" s="4" t="inlineStr">
        <is>
          <t>Status</t>
        </is>
      </c>
      <c r="L4" s="4" t="inlineStr">
        <is>
          <t>Owner</t>
        </is>
      </c>
    </row>
    <row r="5" ht="18" customHeight="1">
      <c r="A5" s="5" t="inlineStr">
        <is>
          <t>FINANCIAL / QUALITY OF EARNINGS</t>
        </is>
      </c>
    </row>
    <row r="6" ht="72" customHeight="1">
      <c r="A6" s="6" t="inlineStr">
        <is>
          <t>RF-01</t>
        </is>
      </c>
      <c r="B6" s="7" t="inlineStr">
        <is>
          <t>Financial / QofE</t>
        </is>
      </c>
      <c r="C6" s="7" t="inlineStr">
        <is>
          <t>EBITDA Reconciliation Discrepancy — $1.0M Unexplained Gap</t>
        </is>
      </c>
      <c r="D6" s="8" t="inlineStr">
        <is>
          <t>CRITICAL</t>
        </is>
      </c>
      <c r="E6" s="7" t="inlineStr">
        <is>
          <t>QofE Data Package (EBITDA Bridge tab); CIM §VI.B; LOI §3.1</t>
        </is>
      </c>
      <c r="F6" s="7" t="inlineStr">
        <is>
          <t>QofE bridge shows Adj. EBITDA of $23.8M; CIM and LOI reference $22.8M. Data package acknowledges the gap but cannot identify the cause. At 8.0–9.0x, the discrepancy implies $8–9M of enterprise value uncertainty.</t>
        </is>
      </c>
      <c r="G6" s="7" t="inlineStr">
        <is>
          <t>8,000–9,000</t>
        </is>
      </c>
      <c r="H6" s="7" t="inlineStr">
        <is>
          <t>No</t>
        </is>
      </c>
      <c r="I6" s="7" t="inlineStr">
        <is>
          <t>Yes</t>
        </is>
      </c>
      <c r="J6" s="7" t="inlineStr">
        <is>
          <t>Demand fully reconciled, line-by-line EBITDA bridge before signing. Do not execute SPA until discrepancy is resolved and audited.</t>
        </is>
      </c>
      <c r="K6" s="7" t="inlineStr">
        <is>
          <t>Open</t>
        </is>
      </c>
      <c r="L6" s="7" t="inlineStr">
        <is>
          <t>QofE / Buyer Counsel</t>
        </is>
      </c>
    </row>
    <row r="7" ht="72" customHeight="1">
      <c r="A7" s="9" t="inlineStr">
        <is>
          <t>RF-02</t>
        </is>
      </c>
      <c r="B7" s="10" t="inlineStr">
        <is>
          <t>Financial / QofE</t>
        </is>
      </c>
      <c r="C7" s="10" t="inlineStr">
        <is>
          <t>Aggressive EBITDA Add-Backs — $5.4M, Mostly Disallowed by Bank</t>
        </is>
      </c>
      <c r="D7" s="11" t="inlineStr">
        <is>
          <t>HIGH</t>
        </is>
      </c>
      <c r="E7" s="10" t="inlineStr">
        <is>
          <t>QofE Data Package (EBITDA Bridge, Exec Comp tabs); Credit Agreement Summary §4</t>
        </is>
      </c>
      <c r="F7" s="10" t="inlineStr">
        <is>
          <t>All five management add-backs are excluded under the bank's Consolidated EBITDA definition (only $500K of non-recurring charges permitted). Owner comp normalization uses $400K market rate but ignores 50% bonus targets ($1.3M total target comp per founder). Pinnacle integration costs span 3 years ($2.66M cumulative). ERP Phase 2 costs continue into FY2025.</t>
        </is>
      </c>
      <c r="G7" s="10" t="inlineStr">
        <is>
          <t>15,000–20,000</t>
        </is>
      </c>
      <c r="H7" s="10" t="inlineStr">
        <is>
          <t>No</t>
        </is>
      </c>
      <c r="I7" s="10" t="inlineStr">
        <is>
          <t>No</t>
        </is>
      </c>
      <c r="J7" s="10" t="inlineStr">
        <is>
          <t>Apply buyer-standard add-back haircut. Restate EBITDA on conservative basis. Adjust enterprise value accordingly. Require seller to justify each add-back with independent support.</t>
        </is>
      </c>
      <c r="K7" s="10" t="inlineStr">
        <is>
          <t>Open</t>
        </is>
      </c>
      <c r="L7" s="10" t="inlineStr">
        <is>
          <t>QofE / Buyer Counsel</t>
        </is>
      </c>
    </row>
    <row r="8" ht="72" customHeight="1">
      <c r="A8" s="6" t="inlineStr">
        <is>
          <t>RF-03</t>
        </is>
      </c>
      <c r="B8" s="7" t="inlineStr">
        <is>
          <t>Financial / QofE</t>
        </is>
      </c>
      <c r="C8" s="7" t="inlineStr">
        <is>
          <t>Reported EBITDA Declined 27% YoY Despite 11% Revenue Growth</t>
        </is>
      </c>
      <c r="D8" s="11" t="inlineStr">
        <is>
          <t>HIGH</t>
        </is>
      </c>
      <c r="E8" s="7" t="inlineStr">
        <is>
          <t>QofE Data Package (Historical P&amp;L tab)</t>
        </is>
      </c>
      <c r="F8" s="7" t="inlineStr">
        <is>
          <t>Reported EBITDA fell from $25.2M (FY2023) to $18.4M (FY2024) — a 27% decline — while revenue grew 11.1%. EBIT margin compressed from 16.0% to 14.5%. The CIM presents only Adjusted EBITDA, obscuring the underlying earnings deterioration.</t>
        </is>
      </c>
      <c r="G8" s="7" t="inlineStr">
        <is>
          <t>Unquantified</t>
        </is>
      </c>
      <c r="H8" s="7" t="inlineStr">
        <is>
          <t>N/A</t>
        </is>
      </c>
      <c r="I8" s="7" t="inlineStr">
        <is>
          <t>No</t>
        </is>
      </c>
      <c r="J8" s="7" t="inlineStr">
        <is>
          <t>Analyze drivers of EBIT margin compression. Confirm whether add-backs mask structural cost increases. Obtain management explanation for each line item driving the decline.</t>
        </is>
      </c>
      <c r="K8" s="7" t="inlineStr">
        <is>
          <t>Open</t>
        </is>
      </c>
      <c r="L8" s="7" t="inlineStr">
        <is>
          <t>QofE</t>
        </is>
      </c>
    </row>
    <row r="9" ht="72" customHeight="1">
      <c r="A9" s="9" t="inlineStr">
        <is>
          <t>RF-04</t>
        </is>
      </c>
      <c r="B9" s="10" t="inlineStr">
        <is>
          <t>Financial / QofE</t>
        </is>
      </c>
      <c r="C9" s="10" t="inlineStr">
        <is>
          <t>Fleet Replacement Backlog — $9.8M Deferred Capex; 44.7% of Fleet Past Useful Life</t>
        </is>
      </c>
      <c r="D9" s="11" t="inlineStr">
        <is>
          <t>HIGH</t>
        </is>
      </c>
      <c r="E9" s="10" t="inlineStr">
        <is>
          <t>QofE Data Package (Fleet &amp; Equipment Schedule, Capex Detail tabs)</t>
        </is>
      </c>
      <c r="F9" s="10" t="inlineStr">
        <is>
          <t>38 of 85 fleet assets (44.7%) are at or past stated useful life. Average fleet age 8.2 years vs. 7.0-year useful life. Estimated replacement cost for past-life units: $9.8M. Several units flagged 'No Replacement Scheduled.' Management's normalized maintenance capex of $4.0–$4.5M/yr understates true run-rate by ~$3.3M/yr.</t>
        </is>
      </c>
      <c r="G9" s="10" t="inlineStr">
        <is>
          <t>9,800</t>
        </is>
      </c>
      <c r="H9" s="10" t="inlineStr">
        <is>
          <t>No</t>
        </is>
      </c>
      <c r="I9" s="10" t="inlineStr">
        <is>
          <t>No</t>
        </is>
      </c>
      <c r="J9" s="10" t="inlineStr">
        <is>
          <t>Commission independent fleet appraisal. Require detailed replacement plan and revised capex budget. Adjust valuation for deferred capex liability. True normalized maintenance capex is ~$7.3–$7.8M/yr.</t>
        </is>
      </c>
      <c r="K9" s="10" t="inlineStr">
        <is>
          <t>Open</t>
        </is>
      </c>
      <c r="L9" s="10" t="inlineStr">
        <is>
          <t>Operations / QofE</t>
        </is>
      </c>
    </row>
    <row r="10" ht="72" customHeight="1">
      <c r="A10" s="6" t="inlineStr">
        <is>
          <t>RF-05</t>
        </is>
      </c>
      <c r="B10" s="7" t="inlineStr">
        <is>
          <t>Financial / QofE</t>
        </is>
      </c>
      <c r="C10" s="7" t="inlineStr">
        <is>
          <t>Audit Quality — No Audited FY2024 Financials; Auditor Downgrade</t>
        </is>
      </c>
      <c r="D10" s="12" t="inlineStr">
        <is>
          <t>MEDIUM</t>
        </is>
      </c>
      <c r="E10" s="7" t="inlineStr">
        <is>
          <t>QofE Data Package (Cover tab); CIM §VI.A; LOI §8(i)</t>
        </is>
      </c>
      <c r="F10" s="7" t="inlineStr">
        <is>
          <t>FY2024 financials are reviewed (unaudited) by Hansen &amp; Whitfield, a local Grand Junction CPA firm. Prior years were audited by Plante Moran (national firm). LOI requires audited FY2024 financials as a closing condition only — not a pre-signing condition.</t>
        </is>
      </c>
      <c r="G10" s="7" t="inlineStr">
        <is>
          <t>Unquantified</t>
        </is>
      </c>
      <c r="H10" s="7" t="inlineStr">
        <is>
          <t>N/A</t>
        </is>
      </c>
      <c r="I10" s="7" t="inlineStr">
        <is>
          <t>Yes</t>
        </is>
      </c>
      <c r="J10" s="7" t="inlineStr">
        <is>
          <t>Require delivery of audited FY2024 financials (Plante Moran or equivalent) as a pre-signing condition. Investigate reason for auditor change.</t>
        </is>
      </c>
      <c r="K10" s="7" t="inlineStr">
        <is>
          <t>Open</t>
        </is>
      </c>
      <c r="L10" s="7" t="inlineStr">
        <is>
          <t>Buyer Counsel / QofE</t>
        </is>
      </c>
    </row>
    <row r="11" ht="18" customHeight="1">
      <c r="A11" s="5" t="inlineStr">
        <is>
          <t>ENVIRONMENTAL &amp; REGULATORY</t>
        </is>
      </c>
    </row>
    <row r="12" ht="72" customHeight="1">
      <c r="A12" s="6" t="inlineStr">
        <is>
          <t>RF-06</t>
        </is>
      </c>
      <c r="B12" s="7" t="inlineStr">
        <is>
          <t>Environmental / Regulatory</t>
        </is>
      </c>
      <c r="C12" s="7" t="inlineStr">
        <is>
          <t>Stale Phase II ESA (5.5 Years Old); Vapor Intrusion Unassessed; Plume Containment Unconfirmed</t>
        </is>
      </c>
      <c r="D12" s="8" t="inlineStr">
        <is>
          <t>CRITICAL</t>
        </is>
      </c>
      <c r="E12" s="7" t="inlineStr">
        <is>
          <t>Phase II ESA Executive Summary (June 2019); Real Property Lease Schedule §2.1; Litigation &amp; Regulatory Summary §VI.A; Insurance Program Summary §4</t>
        </is>
      </c>
      <c r="F12" s="7" t="inlineStr">
        <is>
          <t>2019 ESA identified PCE (18 mg/kg soil; 22 µg/L GW), TCE (6.8 mg/kg soil; 8.7 µg/L GW), and petroleum hydrocarbons exceeding CDPHE standards. Vapor intrusion risk confirmed at occupied maintenance building (PCE 450 µg/m³; TCE 120 µg/m³ — both above EPA RSLs) but never assessed. No off-site sentinel wells installed. ESA explicitly recommended update before any property transaction. PLL policy excludes gradual contamination at owned facilities — liability is uninsured.</t>
        </is>
      </c>
      <c r="G12" s="7" t="inlineStr">
        <is>
          <t>2,600–10,000+</t>
        </is>
      </c>
      <c r="H12" s="7" t="inlineStr">
        <is>
          <t>Partial ($2.2M accrual)</t>
        </is>
      </c>
      <c r="I12" s="7" t="inlineStr">
        <is>
          <t>Yes</t>
        </is>
      </c>
      <c r="J12" s="7" t="inlineStr">
        <is>
          <t>Commission updated Phase II ESA and vapor intrusion assessment at seller's expense as pre-signing condition. Install off-site monitoring wells. Obtain updated remediation cost estimate. Negotiate separate environmental indemnity escrow (min. $5M, 6-year survival). Adjust purchase price for unaccrued exposure.</t>
        </is>
      </c>
      <c r="K12" s="7" t="inlineStr">
        <is>
          <t>Open</t>
        </is>
      </c>
      <c r="L12" s="7" t="inlineStr">
        <is>
          <t>Environmental Counsel</t>
        </is>
      </c>
    </row>
    <row r="13" ht="72" customHeight="1">
      <c r="A13" s="9" t="inlineStr">
        <is>
          <t>RF-07</t>
        </is>
      </c>
      <c r="B13" s="10" t="inlineStr">
        <is>
          <t>Environmental / Regulatory</t>
        </is>
      </c>
      <c r="C13" s="10" t="inlineStr">
        <is>
          <t>Active CDPHE RCRA Enforcement Action — Unaccrued Penalty Up to $1.16M</t>
        </is>
      </c>
      <c r="D13" s="11" t="inlineStr">
        <is>
          <t>HIGH</t>
        </is>
      </c>
      <c r="E13" s="10" t="inlineStr">
        <is>
          <t>Litigation &amp; Regulatory Summary §III.A; Environmental Permit Schedule §2.1; Credit Agreement Summary §10</t>
        </is>
      </c>
      <c r="F13" s="10" t="inlineStr">
        <is>
          <t>CDPHE NOV (Docket CDPHE-HW-2024-0093) issued July 18, 2024 for improper hazardous waste storage at Grand Junction. Company claims 12-day violation ($450K max); CDPHE claims 31-day violation ($1.16M max). No accrual recorded. Active enforcement at primary RCRA-permitted facility creates permit renewal risk (permit expires Dec. 31, 2026). Credit Agreement lists permit revocation as Event of Default.</t>
        </is>
      </c>
      <c r="G13" s="10" t="inlineStr">
        <is>
          <t>200–1,163</t>
        </is>
      </c>
      <c r="H13" s="10" t="inlineStr">
        <is>
          <t>No</t>
        </is>
      </c>
      <c r="I13" s="10" t="inlineStr">
        <is>
          <t>Yes</t>
        </is>
      </c>
      <c r="J13" s="10" t="inlineStr">
        <is>
          <t>Require resolution before closing or establish specific escrow for full CDPHE maximum exposure ($1.16M). Confirm enforcement action will not affect 2026 permit renewal. Treat unaccrued penalty as purchase price adjustment.</t>
        </is>
      </c>
      <c r="K13" s="10" t="inlineStr">
        <is>
          <t>Open</t>
        </is>
      </c>
      <c r="L13" s="10" t="inlineStr">
        <is>
          <t>Environmental Counsel / Buyer Counsel</t>
        </is>
      </c>
    </row>
    <row r="14" ht="72" customHeight="1">
      <c r="A14" s="6" t="inlineStr">
        <is>
          <t>RF-08</t>
        </is>
      </c>
      <c r="B14" s="7" t="inlineStr">
        <is>
          <t>Environmental / Regulatory</t>
        </is>
      </c>
      <c r="C14" s="7" t="inlineStr">
        <is>
          <t>Wyoming Casper Permit Expired — Operating Under Timely Renewal Provisions</t>
        </is>
      </c>
      <c r="D14" s="12" t="inlineStr">
        <is>
          <t>MEDIUM</t>
        </is>
      </c>
      <c r="E14" s="7" t="inlineStr">
        <is>
          <t>Environmental Permit Schedule §2.4; Credit Agreement Summary §10</t>
        </is>
      </c>
      <c r="F14" s="7" t="inlineStr">
        <is>
          <t>Wyoming Permit WY-HW-2019-033 expired November 30, 2024. Renewal application filed October 15, 2024. Facility operating under timely renewal grace period. Renewal expected Q1 2025. Credit Agreement lists permit non-renewal as Event of Default. Casper facility serves ~$30M of Wyoming revenue.</t>
        </is>
      </c>
      <c r="G14" s="7" t="inlineStr">
        <is>
          <t>Operational risk</t>
        </is>
      </c>
      <c r="H14" s="7" t="inlineStr">
        <is>
          <t>N/A</t>
        </is>
      </c>
      <c r="I14" s="7" t="inlineStr">
        <is>
          <t>Yes</t>
        </is>
      </c>
      <c r="J14" s="7" t="inlineStr">
        <is>
          <t>Confirm Wyoming DEQ renewal timeline. Obtain written confirmation of timely renewal provisions. Make permit renewal a closing condition.</t>
        </is>
      </c>
      <c r="K14" s="7" t="inlineStr">
        <is>
          <t>Open</t>
        </is>
      </c>
      <c r="L14" s="7" t="inlineStr">
        <is>
          <t>Environmental Counsel</t>
        </is>
      </c>
    </row>
    <row r="15" ht="72" customHeight="1">
      <c r="A15" s="9" t="inlineStr">
        <is>
          <t>RF-09</t>
        </is>
      </c>
      <c r="B15" s="10" t="inlineStr">
        <is>
          <t>Environmental / Regulatory</t>
        </is>
      </c>
      <c r="C15" s="10" t="inlineStr">
        <is>
          <t>Salt Lake City Hazardous Waste Permit Not Transferred — Still in Pinnacle's Name</t>
        </is>
      </c>
      <c r="D15" s="11" t="inlineStr">
        <is>
          <t>HIGH</t>
        </is>
      </c>
      <c r="E15" s="10" t="inlineStr">
        <is>
          <t>Environmental Permit Schedule §2.2; Real Property Lease Schedule §4.1; Litigation &amp; Regulatory Summary §III.C</t>
        </is>
      </c>
      <c r="F15" s="10" t="inlineStr">
        <is>
          <t>Utah Permit UTH-0441 (SLC transfer station) remains in Pinnacle Waste Solutions, LLC name 2.5+ years post-acquisition. Transfer application pending with Utah Division of Waste Management. Utah Admin Code R315-3 requires Division approval for ownership changes. Facility serves ~$16.2M annual revenue. Proposed Sycamore acquisition adds second change-of-control event.</t>
        </is>
      </c>
      <c r="G15" s="10" t="inlineStr">
        <is>
          <t>16,200 revenue at risk</t>
        </is>
      </c>
      <c r="H15" s="10" t="inlineStr">
        <is>
          <t>N/A</t>
        </is>
      </c>
      <c r="I15" s="10" t="inlineStr">
        <is>
          <t>Yes</t>
        </is>
      </c>
      <c r="J15" s="10" t="inlineStr">
        <is>
          <t>Require completion of Utah permit transfer as pre-closing condition. Obtain written confirmation from Utah Division of Waste Management that current arrangement is acceptable pending transfer.</t>
        </is>
      </c>
      <c r="K15" s="10" t="inlineStr">
        <is>
          <t>Open</t>
        </is>
      </c>
      <c r="L15" s="10" t="inlineStr">
        <is>
          <t>Environmental Counsel</t>
        </is>
      </c>
    </row>
    <row r="16" ht="18" customHeight="1">
      <c r="A16" s="5" t="inlineStr">
        <is>
          <t>COMMERCIAL / CUSTOMER CONCENTRATION</t>
        </is>
      </c>
    </row>
    <row r="17" ht="72" customHeight="1">
      <c r="A17" s="9" t="inlineStr">
        <is>
          <t>RF-10</t>
        </is>
      </c>
      <c r="B17" s="10" t="inlineStr">
        <is>
          <t>Commercial / Customer</t>
        </is>
      </c>
      <c r="C17" s="10" t="inlineStr">
        <is>
          <t>DOE IDIQ Ceiling Exhaustion — $12.1M FY2025 Revenue Headwind Not Disclosed in CIM</t>
        </is>
      </c>
      <c r="D17" s="8" t="inlineStr">
        <is>
          <t>CRITICAL</t>
        </is>
      </c>
      <c r="E17" s="10" t="inlineStr">
        <is>
          <t>Customer Contract Summary (DOE IDIQ Utilization Analysis tab); CIM §VI.D, §VIII.A</t>
        </is>
      </c>
      <c r="F17" s="10" t="inlineStr">
        <is>
          <t>DOE IDIQ ceiling: $45M. Consumed: $32.7M (72.7%) in 61.7% of contract period. Remaining ceiling: $12.3M. At $2.03M/month run rate, ceiling exhausted by ~April–May 2025 — coinciding with target closing. Contract expires August 31, 2026 — 16 months of unfunded period. CIM characterizes DOE as providing 'substantial near-term revenue visibility' — materially misleading.</t>
        </is>
      </c>
      <c r="G17" s="10" t="inlineStr">
        <is>
          <t>12,100+ (revenue headwind)</t>
        </is>
      </c>
      <c r="H17" s="10" t="inlineStr">
        <is>
          <t>No</t>
        </is>
      </c>
      <c r="I17" s="10" t="inlineStr">
        <is>
          <t>No</t>
        </is>
      </c>
      <c r="J17" s="10" t="inlineStr">
        <is>
          <t>Obtain written confirmation from DOE re: ceiling modification or new contract prospects. Adjust financial model for ceiling exhaustion scenario. Consider revenue-based earnout tied to DOE continuation. Reduce enterprise value by $15–20M to reflect risk.</t>
        </is>
      </c>
      <c r="K17" s="10" t="inlineStr">
        <is>
          <t>Open</t>
        </is>
      </c>
      <c r="L17" s="10" t="inlineStr">
        <is>
          <t>Commercial Counsel / QofE</t>
        </is>
      </c>
    </row>
    <row r="18" ht="72" customHeight="1">
      <c r="A18" s="6" t="inlineStr">
        <is>
          <t>RF-11</t>
        </is>
      </c>
      <c r="B18" s="7" t="inlineStr">
        <is>
          <t>Commercial / Customer</t>
        </is>
      </c>
      <c r="C18" s="7" t="inlineStr">
        <is>
          <t>DOE Contract Non-Assignability — Novation May Be Required</t>
        </is>
      </c>
      <c r="D18" s="11" t="inlineStr">
        <is>
          <t>HIGH</t>
        </is>
      </c>
      <c r="E18" s="7" t="inlineStr">
        <is>
          <t>Customer Contract Summary (Top 20 Customers tab, DOE footnote); CIM §VIII.A</t>
        </is>
      </c>
      <c r="F18" s="7" t="inlineStr">
        <is>
          <t>DOE contract subject to Anti-Assignment Act (41 U.S.C. § 6305) and FAR 42.12. Contract Clause H-12 requires written notification to Contracting Officer within 30 days of any ownership change. Novation may be required. Failure to notify could constitute grounds for termination for default. DOE revenue = $24.4M (19.2% of total).</t>
        </is>
      </c>
      <c r="G18" s="7" t="inlineStr">
        <is>
          <t>24,400 revenue at risk</t>
        </is>
      </c>
      <c r="H18" s="7" t="inlineStr">
        <is>
          <t>N/A</t>
        </is>
      </c>
      <c r="I18" s="7" t="inlineStr">
        <is>
          <t>Yes</t>
        </is>
      </c>
      <c r="J18" s="7" t="inlineStr">
        <is>
          <t>Engage DOE Contracting Officer pre-signing to confirm notification requirements and novation process. Make DOE notification/approval a closing condition. Do not close without written CO confirmation.</t>
        </is>
      </c>
      <c r="K18" s="7" t="inlineStr">
        <is>
          <t>Open</t>
        </is>
      </c>
      <c r="L18" s="7" t="inlineStr">
        <is>
          <t>Government Contracts Counsel</t>
        </is>
      </c>
    </row>
    <row r="19" ht="72" customHeight="1">
      <c r="A19" s="9" t="inlineStr">
        <is>
          <t>RF-12</t>
        </is>
      </c>
      <c r="B19" s="10" t="inlineStr">
        <is>
          <t>Commercial / Customer</t>
        </is>
      </c>
      <c r="C19" s="10" t="inlineStr">
        <is>
          <t>Customer Concentration — Top 5 = 50.4%; Multiple Contracts Require Consent</t>
        </is>
      </c>
      <c r="D19" s="12" t="inlineStr">
        <is>
          <t>MEDIUM</t>
        </is>
      </c>
      <c r="E19" s="10" t="inlineStr">
        <is>
          <t>Customer Contract Summary (Customer Concentration Summary tab); CIM §VI.D</t>
        </is>
      </c>
      <c r="F19" s="10" t="inlineStr">
        <is>
          <t>Top 5 customers = 50.4% of revenue. Intermountain Health ($7.1M, 5.6%) contract expires June 30, 2025 — renewal not yet exercised. 8 of top 20 contracts contain assignment/CoC/notification provisions. 12 of top 20 contracts have ≤60-day termination for convenience. Consolidated Mining MSA has no minimum volume commitments.</t>
        </is>
      </c>
      <c r="G19" s="10" t="inlineStr">
        <is>
          <t>Multiple contracts at risk</t>
        </is>
      </c>
      <c r="H19" s="10" t="inlineStr">
        <is>
          <t>N/A</t>
        </is>
      </c>
      <c r="I19" s="10" t="inlineStr">
        <is>
          <t>Yes</t>
        </is>
      </c>
      <c r="J19" s="10" t="inlineStr">
        <is>
          <t>Map all contract consent requirements. Develop pre-closing consent solicitation plan. Confirm Intermountain Health renewal status before signing. Prioritize consent outreach for top revenue relationships.</t>
        </is>
      </c>
      <c r="K19" s="10" t="inlineStr">
        <is>
          <t>Open</t>
        </is>
      </c>
      <c r="L19" s="10" t="inlineStr">
        <is>
          <t>Commercial Counsel</t>
        </is>
      </c>
    </row>
    <row r="20" ht="18" customHeight="1">
      <c r="A20" s="5" t="inlineStr">
        <is>
          <t>REAL PROPERTY &amp; LEASES</t>
        </is>
      </c>
    </row>
    <row r="21" ht="72" customHeight="1">
      <c r="A21" s="9" t="inlineStr">
        <is>
          <t>RF-13</t>
        </is>
      </c>
      <c r="B21" s="10" t="inlineStr">
        <is>
          <t>Real Property / Leases</t>
        </is>
      </c>
      <c r="C21" s="10" t="inlineStr">
        <is>
          <t>SLC Lease — Dual Assignment Default; Landlord Consent Unresolved for 2.5 Years</t>
        </is>
      </c>
      <c r="D21" s="8" t="inlineStr">
        <is>
          <t>CRITICAL</t>
        </is>
      </c>
      <c r="E21" s="10" t="inlineStr">
        <is>
          <t>Real Property Lease Schedule §4.1, §6; Litigation &amp; Regulatory Summary §V.B</t>
        </is>
      </c>
      <c r="F21" s="10" t="inlineStr">
        <is>
          <t>SLC lease (Wasatch Industrial Properties) originally executed by Pinnacle. RES requested consent April 12, 2022 — no written consent received as of December 2024. Lease §14 defines any change of control as assignment requiring consent. Landlord sent inquiry November 2024 referencing consent clause — suggesting active awareness. Proposed Sycamore acquisition = second CoC event. Facility serves $16.2M revenue and houses permit UTH-0441.</t>
        </is>
      </c>
      <c r="G21" s="10" t="inlineStr">
        <is>
          <t>16,200 revenue / facility loss</t>
        </is>
      </c>
      <c r="H21" s="10" t="inlineStr">
        <is>
          <t>N/A</t>
        </is>
      </c>
      <c r="I21" s="10" t="inlineStr">
        <is>
          <t>Yes</t>
        </is>
      </c>
      <c r="J21" s="10" t="inlineStr">
        <is>
          <t>Obtain written landlord consent to both the Pinnacle-to-RES assignment and the Sycamore acquisition as a pre-closing condition. If consent cannot be obtained, evaluate alternative facility options. Do not close without written landlord consent.</t>
        </is>
      </c>
      <c r="K21" s="10" t="inlineStr">
        <is>
          <t>Open</t>
        </is>
      </c>
      <c r="L21" s="10" t="inlineStr">
        <is>
          <t>Real Estate Counsel</t>
        </is>
      </c>
    </row>
    <row r="22" ht="72" customHeight="1">
      <c r="A22" s="6" t="inlineStr">
        <is>
          <t>RF-14</t>
        </is>
      </c>
      <c r="B22" s="7" t="inlineStr">
        <is>
          <t>Real Property / Leases</t>
        </is>
      </c>
      <c r="C22" s="7" t="inlineStr">
        <is>
          <t>Multiple Lease Consent Requirements — 7 of 10 Leases; Pueblo Lease Expiring at Closing</t>
        </is>
      </c>
      <c r="D22" s="12" t="inlineStr">
        <is>
          <t>MEDIUM</t>
        </is>
      </c>
      <c r="E22" s="7" t="inlineStr">
        <is>
          <t>Real Property Lease Schedule §3, §6</t>
        </is>
      </c>
      <c r="F22" s="7" t="inlineStr">
        <is>
          <t>7 of 10 leased facilities require landlord consent for assignment or change of control. Pueblo Storage Yard lease expires April 30, 2025 — on or about target closing date; renewal negotiations underway. Rock Springs Field Office (expires Oct. 31, 2026) has no renewal options.</t>
        </is>
      </c>
      <c r="G22" s="7" t="inlineStr">
        <is>
          <t>Closing risk</t>
        </is>
      </c>
      <c r="H22" s="7" t="inlineStr">
        <is>
          <t>N/A</t>
        </is>
      </c>
      <c r="I22" s="7" t="inlineStr">
        <is>
          <t>Yes</t>
        </is>
      </c>
      <c r="J22" s="7" t="inlineStr">
        <is>
          <t>Initiate landlord consent solicitation immediately. Prioritize SLC (RF-13) and operationally critical facilities. Confirm Pueblo lease renewal status. Make all required consents a closing condition.</t>
        </is>
      </c>
      <c r="K22" s="7" t="inlineStr">
        <is>
          <t>Open</t>
        </is>
      </c>
      <c r="L22" s="7" t="inlineStr">
        <is>
          <t>Real Estate Counsel</t>
        </is>
      </c>
    </row>
    <row r="23" ht="18" customHeight="1">
      <c r="A23" s="5" t="inlineStr">
        <is>
          <t>LEGAL &amp; LITIGATION</t>
        </is>
      </c>
    </row>
    <row r="24" ht="72" customHeight="1">
      <c r="A24" s="6" t="inlineStr">
        <is>
          <t>RF-15</t>
        </is>
      </c>
      <c r="B24" s="7" t="inlineStr">
        <is>
          <t>Legal / Litigation</t>
        </is>
      </c>
      <c r="C24" s="7" t="inlineStr">
        <is>
          <t>Ramirez Personal Injury — $4.8M Claim; Insurer Reservation of Rights</t>
        </is>
      </c>
      <c r="D24" s="11" t="inlineStr">
        <is>
          <t>HIGH</t>
        </is>
      </c>
      <c r="E24" s="7" t="inlineStr">
        <is>
          <t>Litigation &amp; Regulatory Summary §II.B; Insurance Program Summary §7</t>
        </is>
      </c>
      <c r="F24" s="7" t="inlineStr">
        <is>
          <t>Former field technician alleges VOC/heavy metal exposure at Sheridan, WY job site (Case No. 2:24-cv-00187, D. Wyo.). Seeks $4.8M including punitive damages. Insurer issued reservation of rights September 19, 2024 — coverage determination pending. No accrual recorded. Trial date February 2026. Punitive damages not insurable in most jurisdictions.</t>
        </is>
      </c>
      <c r="G24" s="7" t="inlineStr">
        <is>
          <t>500–4,800</t>
        </is>
      </c>
      <c r="H24" s="7" t="inlineStr">
        <is>
          <t>No</t>
        </is>
      </c>
      <c r="I24" s="7" t="inlineStr">
        <is>
          <t>No</t>
        </is>
      </c>
      <c r="J24" s="7" t="inlineStr">
        <is>
          <t>Obtain copy of reservation of rights letter and assess coverage defenses. Require specific indemnity escrow for this matter. Confirm disclosure in SPA reps and warranties. Evaluate OSHA compliance records for the Sheridan site.</t>
        </is>
      </c>
      <c r="K24" s="7" t="inlineStr">
        <is>
          <t>Open</t>
        </is>
      </c>
      <c r="L24" s="7" t="inlineStr">
        <is>
          <t>Litigation Counsel</t>
        </is>
      </c>
    </row>
    <row r="25" ht="72" customHeight="1">
      <c r="A25" s="9" t="inlineStr">
        <is>
          <t>RF-16</t>
        </is>
      </c>
      <c r="B25" s="10" t="inlineStr">
        <is>
          <t>Legal / Litigation</t>
        </is>
      </c>
      <c r="C25" s="10" t="inlineStr">
        <is>
          <t>Asbestos Long-Tail Exposure — Pre-2015 Work Uninsured; No Tail Coverage Procured</t>
        </is>
      </c>
      <c r="D25" s="12" t="inlineStr">
        <is>
          <t>MEDIUM</t>
        </is>
      </c>
      <c r="E25" s="10" t="inlineStr">
        <is>
          <t>Litigation &amp; Regulatory Summary §VI.B; Insurance Program Summary §2, §4; QofE (Service Line Detail tab)</t>
        </is>
      </c>
      <c r="F25" s="10" t="inlineStr">
        <is>
          <t>RES operated asbestos abatement at ~145 sites (2012–2023). PLL policy retroactive date: January 1, 2015 — work from 2012–2014 is uninsured. CGL policy has blanket asbestos exclusion. No completed operations tail coverage procured. Two open workers' comp claims from former asbestos employees (filed 2021, 2022). Asbestos latency periods can be 20–40 years.</t>
        </is>
      </c>
      <c r="G25" s="10" t="inlineStr">
        <is>
          <t>Unquantifiable</t>
        </is>
      </c>
      <c r="H25" s="10" t="inlineStr">
        <is>
          <t>No</t>
        </is>
      </c>
      <c r="I25" s="10" t="inlineStr">
        <is>
          <t>No</t>
        </is>
      </c>
      <c r="J25" s="10" t="inlineStr">
        <is>
          <t>Require specific asbestos indemnity from sellers with 10-year survival, uncapped. Consider requiring sellers to procure completed operations tail policy for 2012–2014 period. Quantify exposure based on site records and employee exposure data.</t>
        </is>
      </c>
      <c r="K25" s="10" t="inlineStr">
        <is>
          <t>Open</t>
        </is>
      </c>
      <c r="L25" s="10" t="inlineStr">
        <is>
          <t>Litigation Counsel / Insurance Counsel</t>
        </is>
      </c>
    </row>
    <row r="26" ht="18" customHeight="1">
      <c r="A26" s="5" t="inlineStr">
        <is>
          <t>HUMAN CAPITAL &amp; GOVERNANCE</t>
        </is>
      </c>
    </row>
    <row r="27" ht="72" customHeight="1">
      <c r="A27" s="9" t="inlineStr">
        <is>
          <t>RF-17</t>
        </is>
      </c>
      <c r="B27" s="10" t="inlineStr">
        <is>
          <t>Human Capital / Governance</t>
        </is>
      </c>
      <c r="C27" s="10" t="inlineStr">
        <is>
          <t>NLRB Union Petition — 62 Employees at Grand Junction and Casper; Disclosed Only in Footnote</t>
        </is>
      </c>
      <c r="D27" s="11" t="inlineStr">
        <is>
          <t>HIGH</t>
        </is>
      </c>
      <c r="E27" s="10" t="inlineStr">
        <is>
          <t>Employee Benefits Summary §7 (footnote); CIM §VII.A</t>
        </is>
      </c>
      <c r="F27" s="10" t="inlineStr">
        <is>
          <t>NLRB election petition filed November 4, 2024 by Teamsters Local 455 covering 62 field technicians at Grand Junction and Casper — the two largest facilities. Disclosed only in a footnote of the Employee Benefits Summary; not mentioned in CIM, Litigation Summary, or any primary document. CIM states workforce is 'entirely non-unionized' with 'positive and productive relations.'</t>
        </is>
      </c>
      <c r="G27" s="10" t="inlineStr">
        <is>
          <t>Labor cost / flexibility risk</t>
        </is>
      </c>
      <c r="H27" s="10" t="inlineStr">
        <is>
          <t>N/A</t>
        </is>
      </c>
      <c r="I27" s="10" t="inlineStr">
        <is>
          <t>No</t>
        </is>
      </c>
      <c r="J27" s="10" t="inlineStr">
        <is>
          <t>Obtain full details of NLRB petition (bargaining unit, election timeline, Company response strategy). Assess likelihood of successful union election. Evaluate financial impact of potential CBA. Require prominent disclosure in SPA reps and warranties. Include specific indemnity for costs of election and first CBA.</t>
        </is>
      </c>
      <c r="K27" s="10" t="inlineStr">
        <is>
          <t>Open</t>
        </is>
      </c>
      <c r="L27" s="10" t="inlineStr">
        <is>
          <t>Labor Counsel</t>
        </is>
      </c>
    </row>
    <row r="28" ht="72" customHeight="1">
      <c r="A28" s="6" t="inlineStr">
        <is>
          <t>RF-18</t>
        </is>
      </c>
      <c r="B28" s="7" t="inlineStr">
        <is>
          <t>Human Capital / Governance</t>
        </is>
      </c>
      <c r="C28" s="7" t="inlineStr">
        <is>
          <t>Single-Trigger CoC Severance — $2.625M Payable at Closing; Allocation Unresolved</t>
        </is>
      </c>
      <c r="D28" s="12" t="inlineStr">
        <is>
          <t>MEDIUM</t>
        </is>
      </c>
      <c r="E28" s="7" t="inlineStr">
        <is>
          <t>Employment Agreements Summary §8; QofE (Executive Compensation tab); LOI §4(c)</t>
        </is>
      </c>
      <c r="F28" s="7" t="inlineStr">
        <is>
          <t>CEO and COO employment agreements contain single-trigger CoC severance of $1.3125M each ($2.625M total), payable within 30 days of closing regardless of post-closing employment. Total CoC severance across all 5 executives: $3.775M. LOI definition of Transaction Expenses does not expressly address whether these payments are seller-borne or buyer-borne.</t>
        </is>
      </c>
      <c r="G28" s="7" t="inlineStr">
        <is>
          <t>2,625–3,775</t>
        </is>
      </c>
      <c r="H28" s="7" t="inlineStr">
        <is>
          <t>No</t>
        </is>
      </c>
      <c r="I28" s="7" t="inlineStr">
        <is>
          <t>No</t>
        </is>
      </c>
      <c r="J28" s="7" t="inlineStr">
        <is>
          <t>Confirm in SPA that all CoC severance payments are treated as Transaction Expenses deducted from purchase price. Negotiate post-closing employment arrangements with Calloway brothers providing retention incentives.</t>
        </is>
      </c>
      <c r="K28" s="7" t="inlineStr">
        <is>
          <t>Open</t>
        </is>
      </c>
      <c r="L28" s="7" t="inlineStr">
        <is>
          <t>Buyer Counsel / HR</t>
        </is>
      </c>
    </row>
  </sheetData>
  <mergeCells count="9">
    <mergeCell ref="A20:L20"/>
    <mergeCell ref="A26:L26"/>
    <mergeCell ref="A2:L2"/>
    <mergeCell ref="A16:L16"/>
    <mergeCell ref="A11:L11"/>
    <mergeCell ref="A1:L1"/>
    <mergeCell ref="A5:L5"/>
    <mergeCell ref="A23:L23"/>
    <mergeCell ref="A3:L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showGridLines="0" workbookViewId="0">
      <selection activeCell="A1" sqref="A1"/>
    </sheetView>
  </sheetViews>
  <sheetFormatPr baseColWidth="8" defaultRowHeight="15"/>
  <cols>
    <col width="8" customWidth="1" min="1" max="1"/>
    <col width="42" customWidth="1" min="2" max="2"/>
    <col width="12" customWidth="1" min="3" max="3"/>
    <col width="18" customWidth="1" min="4" max="4"/>
    <col width="18" customWidth="1" min="5" max="5"/>
    <col width="22" customWidth="1" min="6" max="6"/>
    <col width="22" customWidth="1" min="7" max="7"/>
  </cols>
  <sheetData>
    <row r="1" ht="26" customHeight="1">
      <c r="A1" s="13" t="inlineStr">
        <is>
          <t>PROJECT RIDGELINE — FINANCIAL EXPOSURE SUMMARY</t>
        </is>
      </c>
    </row>
    <row r="2" ht="16" customHeight="1">
      <c r="A2" s="2" t="inlineStr">
        <is>
          <t>All figures in $000s unless noted | December 2024 | CONFIDENTIAL</t>
        </is>
      </c>
    </row>
    <row r="3" ht="6" customHeight="1">
      <c r="A3" s="3" t="n"/>
    </row>
    <row r="4" ht="30" customHeight="1">
      <c r="A4" s="4" t="inlineStr">
        <is>
          <t>RF #</t>
        </is>
      </c>
      <c r="B4" s="4" t="inlineStr">
        <is>
          <t>Red Flag Title</t>
        </is>
      </c>
      <c r="C4" s="4" t="inlineStr">
        <is>
          <t>Severity</t>
        </is>
      </c>
      <c r="D4" s="4" t="inlineStr">
        <is>
          <t>Low Estimate ($000s)</t>
        </is>
      </c>
      <c r="E4" s="4" t="inlineStr">
        <is>
          <t>High Estimate ($000s)</t>
        </is>
      </c>
      <c r="F4" s="4" t="inlineStr">
        <is>
          <t>Accrued / Reserved ($000s)</t>
        </is>
      </c>
      <c r="G4" s="4" t="inlineStr">
        <is>
          <t>Net Unaccrued Exposure ($000s)</t>
        </is>
      </c>
    </row>
    <row r="5" ht="22" customHeight="1">
      <c r="A5" s="14" t="inlineStr">
        <is>
          <t>RF-01</t>
        </is>
      </c>
      <c r="B5" s="10" t="inlineStr">
        <is>
          <t>EBITDA Reconciliation Discrepancy</t>
        </is>
      </c>
      <c r="C5" s="15" t="inlineStr">
        <is>
          <t>CRITICAL</t>
        </is>
      </c>
      <c r="D5" s="16" t="n">
        <v>8000</v>
      </c>
      <c r="E5" s="16" t="n">
        <v>9000</v>
      </c>
      <c r="F5" s="16" t="n">
        <v>0</v>
      </c>
      <c r="G5" s="17">
        <f>E5-F5</f>
        <v/>
      </c>
    </row>
    <row r="6" ht="22" customHeight="1">
      <c r="A6" s="18" t="inlineStr">
        <is>
          <t>RF-02</t>
        </is>
      </c>
      <c r="B6" s="7" t="inlineStr">
        <is>
          <t>Aggressive EBITDA Add-Backs (valuation impact)</t>
        </is>
      </c>
      <c r="C6" s="19" t="inlineStr">
        <is>
          <t>HIGH</t>
        </is>
      </c>
      <c r="D6" s="20" t="n">
        <v>15000</v>
      </c>
      <c r="E6" s="20" t="n">
        <v>20000</v>
      </c>
      <c r="F6" s="20" t="n">
        <v>0</v>
      </c>
      <c r="G6" s="21">
        <f>E6-F6</f>
        <v/>
      </c>
    </row>
    <row r="7" ht="22" customHeight="1">
      <c r="A7" s="14" t="inlineStr">
        <is>
          <t>RF-04</t>
        </is>
      </c>
      <c r="B7" s="10" t="inlineStr">
        <is>
          <t>Fleet Replacement Backlog (deferred capex)</t>
        </is>
      </c>
      <c r="C7" s="19" t="inlineStr">
        <is>
          <t>HIGH</t>
        </is>
      </c>
      <c r="D7" s="16" t="n">
        <v>9800</v>
      </c>
      <c r="E7" s="16" t="n">
        <v>9800</v>
      </c>
      <c r="F7" s="16" t="n">
        <v>0</v>
      </c>
      <c r="G7" s="17">
        <f>E7-F7</f>
        <v/>
      </c>
    </row>
    <row r="8" ht="22" customHeight="1">
      <c r="A8" s="18" t="inlineStr">
        <is>
          <t>RF-06</t>
        </is>
      </c>
      <c r="B8" s="7" t="inlineStr">
        <is>
          <t>Grand Junction Environmental Remediation</t>
        </is>
      </c>
      <c r="C8" s="15" t="inlineStr">
        <is>
          <t>CRITICAL</t>
        </is>
      </c>
      <c r="D8" s="20" t="n">
        <v>2600</v>
      </c>
      <c r="E8" s="20" t="n">
        <v>10000</v>
      </c>
      <c r="F8" s="20" t="n">
        <v>2200</v>
      </c>
      <c r="G8" s="21">
        <f>E8-F8</f>
        <v/>
      </c>
    </row>
    <row r="9" ht="22" customHeight="1">
      <c r="A9" s="14" t="inlineStr">
        <is>
          <t>RF-07</t>
        </is>
      </c>
      <c r="B9" s="10" t="inlineStr">
        <is>
          <t>CDPHE Enforcement Action Penalty</t>
        </is>
      </c>
      <c r="C9" s="19" t="inlineStr">
        <is>
          <t>HIGH</t>
        </is>
      </c>
      <c r="D9" s="16" t="n">
        <v>200</v>
      </c>
      <c r="E9" s="16" t="n">
        <v>1163</v>
      </c>
      <c r="F9" s="16" t="n">
        <v>0</v>
      </c>
      <c r="G9" s="17">
        <f>E9-F9</f>
        <v/>
      </c>
    </row>
    <row r="10" ht="22" customHeight="1">
      <c r="A10" s="18" t="inlineStr">
        <is>
          <t>RF-09</t>
        </is>
      </c>
      <c r="B10" s="7" t="inlineStr">
        <is>
          <t>SLC Permit — Revenue at Risk (annual)</t>
        </is>
      </c>
      <c r="C10" s="19" t="inlineStr">
        <is>
          <t>HIGH</t>
        </is>
      </c>
      <c r="D10" s="20" t="n">
        <v>16200</v>
      </c>
      <c r="E10" s="20" t="n">
        <v>16200</v>
      </c>
      <c r="F10" s="20" t="n">
        <v>0</v>
      </c>
      <c r="G10" s="21">
        <f>E10-F10</f>
        <v/>
      </c>
    </row>
    <row r="11" ht="22" customHeight="1">
      <c r="A11" s="14" t="inlineStr">
        <is>
          <t>RF-10</t>
        </is>
      </c>
      <c r="B11" s="10" t="inlineStr">
        <is>
          <t>DOE Ceiling Exhaustion — Revenue Headwind (FY2025)</t>
        </is>
      </c>
      <c r="C11" s="15" t="inlineStr">
        <is>
          <t>CRITICAL</t>
        </is>
      </c>
      <c r="D11" s="16" t="n">
        <v>12100</v>
      </c>
      <c r="E11" s="16" t="n">
        <v>12100</v>
      </c>
      <c r="F11" s="16" t="n">
        <v>0</v>
      </c>
      <c r="G11" s="17">
        <f>E11-F11</f>
        <v/>
      </c>
    </row>
    <row r="12" ht="22" customHeight="1">
      <c r="A12" s="18" t="inlineStr">
        <is>
          <t>RF-13</t>
        </is>
      </c>
      <c r="B12" s="7" t="inlineStr">
        <is>
          <t>SLC Lease Default — Revenue at Risk (annual)</t>
        </is>
      </c>
      <c r="C12" s="15" t="inlineStr">
        <is>
          <t>CRITICAL</t>
        </is>
      </c>
      <c r="D12" s="20" t="n">
        <v>16200</v>
      </c>
      <c r="E12" s="20" t="n">
        <v>16200</v>
      </c>
      <c r="F12" s="20" t="n">
        <v>0</v>
      </c>
      <c r="G12" s="21">
        <f>E12-F12</f>
        <v/>
      </c>
    </row>
    <row r="13" ht="22" customHeight="1">
      <c r="A13" s="14" t="inlineStr">
        <is>
          <t>RF-15</t>
        </is>
      </c>
      <c r="B13" s="10" t="inlineStr">
        <is>
          <t>Ramirez Personal Injury Claim</t>
        </is>
      </c>
      <c r="C13" s="19" t="inlineStr">
        <is>
          <t>HIGH</t>
        </is>
      </c>
      <c r="D13" s="16" t="n">
        <v>500</v>
      </c>
      <c r="E13" s="16" t="n">
        <v>4800</v>
      </c>
      <c r="F13" s="16" t="n">
        <v>0</v>
      </c>
      <c r="G13" s="17">
        <f>E13-F13</f>
        <v/>
      </c>
    </row>
    <row r="14" ht="22" customHeight="1">
      <c r="A14" s="18" t="inlineStr">
        <is>
          <t>RF-18</t>
        </is>
      </c>
      <c r="B14" s="7" t="inlineStr">
        <is>
          <t>Change-of-Control Severance (single-trigger)</t>
        </is>
      </c>
      <c r="C14" s="22" t="inlineStr">
        <is>
          <t>MEDIUM</t>
        </is>
      </c>
      <c r="D14" s="20" t="n">
        <v>2625</v>
      </c>
      <c r="E14" s="20" t="n">
        <v>3775</v>
      </c>
      <c r="F14" s="20" t="n">
        <v>0</v>
      </c>
      <c r="G14" s="21">
        <f>E14-F14</f>
        <v/>
      </c>
    </row>
    <row r="15" ht="22" customHeight="1">
      <c r="A15" s="23" t="inlineStr">
        <is>
          <t>TOTAL QUANTIFIED EXPOSURE (Low / High)</t>
        </is>
      </c>
      <c r="D15" s="24">
        <f>SUM(D5:D14)</f>
        <v/>
      </c>
      <c r="E15" s="24">
        <f>SUM(E5:E14)</f>
        <v/>
      </c>
      <c r="F15" s="24">
        <f>SUM(F5:F14)</f>
        <v/>
      </c>
      <c r="G15" s="24">
        <f>SUM(G5:G14)</f>
        <v/>
      </c>
    </row>
    <row r="17" ht="36" customHeight="1">
      <c r="A17" s="25" t="inlineStr">
        <is>
          <t>Note: Figures represent management estimates and diligence team assessments. Several items (RF-03, RF-08, RF-11, RF-12, RF-14, RF-16, RF-17) carry unquantifiable or operational risk not captured above. RF-09 and RF-13 reflect annual revenue at risk, not a one-time loss. RF-10 reflects a one-year revenue headwind. All figures in $000s.</t>
        </is>
      </c>
    </row>
  </sheetData>
  <mergeCells count="5">
    <mergeCell ref="A1:G1"/>
    <mergeCell ref="A17:G17"/>
    <mergeCell ref="A3:G3"/>
    <mergeCell ref="A2:G2"/>
    <mergeCell ref="A15:C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selection activeCell="A1" sqref="A1"/>
    </sheetView>
  </sheetViews>
  <sheetFormatPr baseColWidth="8" defaultRowHeight="15"/>
  <cols>
    <col width="5" customWidth="1" min="1" max="1"/>
    <col width="48" customWidth="1" min="2" max="2"/>
    <col width="14" customWidth="1" min="3" max="3"/>
    <col width="18" customWidth="1" min="4" max="4"/>
    <col width="22" customWidth="1" min="5" max="5"/>
    <col width="12" customWidth="1" min="6" max="6"/>
    <col width="14" customWidth="1" min="7" max="7"/>
    <col width="36" customWidth="1" min="8" max="8"/>
  </cols>
  <sheetData>
    <row r="1" ht="26" customHeight="1">
      <c r="A1" s="13" t="inlineStr">
        <is>
          <t>PROJECT RIDGELINE — PRE-CLOSING CONDITIONS CHECKLIST</t>
        </is>
      </c>
    </row>
    <row r="2" ht="16" customHeight="1">
      <c r="A2" s="2" t="inlineStr">
        <is>
          <t>Items marked 'Required' must be satisfied before Sycamore executes the definitive SPA or closes the Transaction | December 2024</t>
        </is>
      </c>
    </row>
    <row r="3" ht="6" customHeight="1">
      <c r="A3" s="3" t="n"/>
    </row>
    <row r="4" ht="28" customHeight="1">
      <c r="A4" s="4" t="inlineStr">
        <is>
          <t>#</t>
        </is>
      </c>
      <c r="B4" s="4" t="inlineStr">
        <is>
          <t>Condition</t>
        </is>
      </c>
      <c r="C4" s="4" t="inlineStr">
        <is>
          <t>Related RF(s)</t>
        </is>
      </c>
      <c r="D4" s="4" t="inlineStr">
        <is>
          <t>Timing</t>
        </is>
      </c>
      <c r="E4" s="4" t="inlineStr">
        <is>
          <t>Responsible Party</t>
        </is>
      </c>
      <c r="F4" s="4" t="inlineStr">
        <is>
          <t>Priority</t>
        </is>
      </c>
      <c r="G4" s="4" t="inlineStr">
        <is>
          <t>Status</t>
        </is>
      </c>
      <c r="H4" s="4" t="inlineStr">
        <is>
          <t>Notes</t>
        </is>
      </c>
    </row>
    <row r="5" ht="56" customHeight="1">
      <c r="A5" s="14" t="n">
        <v>1</v>
      </c>
      <c r="B5" s="10" t="inlineStr">
        <is>
          <t>Delivery of audited FY2024 financial statements (Plante Moran or equivalent national firm) and full resolution of the $1.0M EBITDA reconciliation discrepancy with a line-by-line reconciliation</t>
        </is>
      </c>
      <c r="C5" s="10" t="inlineStr">
        <is>
          <t>RF-01, RF-05</t>
        </is>
      </c>
      <c r="D5" s="10" t="inlineStr">
        <is>
          <t>Pre-Signing</t>
        </is>
      </c>
      <c r="E5" s="10" t="inlineStr">
        <is>
          <t>Seller / QofE</t>
        </is>
      </c>
      <c r="F5" s="15" t="inlineStr">
        <is>
          <t>CRITICAL</t>
        </is>
      </c>
      <c r="G5" s="10" t="inlineStr">
        <is>
          <t>Open</t>
        </is>
      </c>
      <c r="H5" s="10" t="inlineStr">
        <is>
          <t>Do not execute SPA until audited financials delivered and discrepancy resolved</t>
        </is>
      </c>
    </row>
    <row r="6" ht="56" customHeight="1">
      <c r="A6" s="18" t="n">
        <v>2</v>
      </c>
      <c r="B6" s="7" t="inlineStr">
        <is>
          <t>Updated Phase II Environmental Site Assessment and vapor intrusion assessment at Grand Junction headquarters, at seller's expense, with updated remediation cost estimate from independent environmental consultant</t>
        </is>
      </c>
      <c r="C6" s="7" t="inlineStr">
        <is>
          <t>RF-06</t>
        </is>
      </c>
      <c r="D6" s="7" t="inlineStr">
        <is>
          <t>Pre-Signing</t>
        </is>
      </c>
      <c r="E6" s="7" t="inlineStr">
        <is>
          <t>Seller / Env. Counsel</t>
        </is>
      </c>
      <c r="F6" s="15" t="inlineStr">
        <is>
          <t>CRITICAL</t>
        </is>
      </c>
      <c r="G6" s="7" t="inlineStr">
        <is>
          <t>Open</t>
        </is>
      </c>
      <c r="H6" s="7" t="inlineStr">
        <is>
          <t>ESA is 5.5 years old; vapor intrusion into occupied building never assessed</t>
        </is>
      </c>
    </row>
    <row r="7" ht="56" customHeight="1">
      <c r="A7" s="14" t="n">
        <v>3</v>
      </c>
      <c r="B7" s="10" t="inlineStr">
        <is>
          <t>Written landlord consent from Wasatch Industrial Properties, LLC to (a) the existing Pinnacle-to-RES assignment and (b) the proposed Sycamore Capital acquisition of RES</t>
        </is>
      </c>
      <c r="C7" s="10" t="inlineStr">
        <is>
          <t>RF-13</t>
        </is>
      </c>
      <c r="D7" s="10" t="inlineStr">
        <is>
          <t>Pre-Closing</t>
        </is>
      </c>
      <c r="E7" s="10" t="inlineStr">
        <is>
          <t>Seller / Real Estate Counsel</t>
        </is>
      </c>
      <c r="F7" s="15" t="inlineStr">
        <is>
          <t>CRITICAL</t>
        </is>
      </c>
      <c r="G7" s="10" t="inlineStr">
        <is>
          <t>Open</t>
        </is>
      </c>
      <c r="H7" s="10" t="inlineStr">
        <is>
          <t>Dual consent required; landlord has recently inquired about tenant status</t>
        </is>
      </c>
    </row>
    <row r="8" ht="56" customHeight="1">
      <c r="A8" s="18" t="n">
        <v>4</v>
      </c>
      <c r="B8" s="7" t="inlineStr">
        <is>
          <t>Completion of Utah hazardous waste permit transfer (UTH-0441) from Pinnacle Waste Solutions, LLC to Ridgeline Environmental Services, Inc., with written confirmation from Utah Division of Waste Management</t>
        </is>
      </c>
      <c r="C8" s="7" t="inlineStr">
        <is>
          <t>RF-09</t>
        </is>
      </c>
      <c r="D8" s="7" t="inlineStr">
        <is>
          <t>Pre-Closing</t>
        </is>
      </c>
      <c r="E8" s="7" t="inlineStr">
        <is>
          <t>Seller / Env. Counsel</t>
        </is>
      </c>
      <c r="F8" s="15" t="inlineStr">
        <is>
          <t>CRITICAL</t>
        </is>
      </c>
      <c r="G8" s="7" t="inlineStr">
        <is>
          <t>Open</t>
        </is>
      </c>
      <c r="H8" s="7" t="inlineStr">
        <is>
          <t>Permit has been in Pinnacle's name for 2.5+ years post-acquisition</t>
        </is>
      </c>
    </row>
    <row r="9" ht="56" customHeight="1">
      <c r="A9" s="14" t="n">
        <v>5</v>
      </c>
      <c r="B9" s="10" t="inlineStr">
        <is>
          <t>Written confirmation from DOE Contracting Officer regarding notification requirements and novation process under Contract No. DE-EM-0005523 in connection with the proposed acquisition</t>
        </is>
      </c>
      <c r="C9" s="10" t="inlineStr">
        <is>
          <t>RF-11</t>
        </is>
      </c>
      <c r="D9" s="10" t="inlineStr">
        <is>
          <t>Pre-Signing</t>
        </is>
      </c>
      <c r="E9" s="10" t="inlineStr">
        <is>
          <t>Buyer / Gov't Contracts Counsel</t>
        </is>
      </c>
      <c r="F9" s="19" t="inlineStr">
        <is>
          <t>HIGH</t>
        </is>
      </c>
      <c r="G9" s="10" t="inlineStr">
        <is>
          <t>Open</t>
        </is>
      </c>
      <c r="H9" s="10" t="inlineStr">
        <is>
          <t>Anti-Assignment Act and FAR 42.12 apply; failure to notify = potential default</t>
        </is>
      </c>
    </row>
    <row r="10" ht="56" customHeight="1">
      <c r="A10" s="18" t="n">
        <v>6</v>
      </c>
      <c r="B10" s="7" t="inlineStr">
        <is>
          <t>Written confirmation from DOE regarding ceiling modification prospects or new contract award timeline for Contract No. DE-EM-0005523</t>
        </is>
      </c>
      <c r="C10" s="7" t="inlineStr">
        <is>
          <t>RF-10</t>
        </is>
      </c>
      <c r="D10" s="7" t="inlineStr">
        <is>
          <t>Pre-Signing</t>
        </is>
      </c>
      <c r="E10" s="7" t="inlineStr">
        <is>
          <t>Buyer / Seller</t>
        </is>
      </c>
      <c r="F10" s="19" t="inlineStr">
        <is>
          <t>HIGH</t>
        </is>
      </c>
      <c r="G10" s="7" t="inlineStr">
        <is>
          <t>Open</t>
        </is>
      </c>
      <c r="H10" s="7" t="inlineStr">
        <is>
          <t>Ceiling exhaustion by ~April–May 2025 creates $12.1M revenue headwind</t>
        </is>
      </c>
    </row>
    <row r="11" ht="56" customHeight="1">
      <c r="A11" s="14" t="n">
        <v>7</v>
      </c>
      <c r="B11" s="10" t="inlineStr">
        <is>
          <t>Resolution of CDPHE enforcement action (Docket CDPHE-HW-2024-0093) or establishment of a specific escrow equal to the full CDPHE maximum penalty exposure ($1,162,500)</t>
        </is>
      </c>
      <c r="C11" s="10" t="inlineStr">
        <is>
          <t>RF-07</t>
        </is>
      </c>
      <c r="D11" s="10" t="inlineStr">
        <is>
          <t>Pre-Closing</t>
        </is>
      </c>
      <c r="E11" s="10" t="inlineStr">
        <is>
          <t>Seller / Env. Counsel</t>
        </is>
      </c>
      <c r="F11" s="19" t="inlineStr">
        <is>
          <t>HIGH</t>
        </is>
      </c>
      <c r="G11" s="10" t="inlineStr">
        <is>
          <t>Open</t>
        </is>
      </c>
      <c r="H11" s="10" t="inlineStr">
        <is>
          <t>No accrual recorded; active enforcement at primary RCRA-permitted facility</t>
        </is>
      </c>
    </row>
    <row r="12" ht="56" customHeight="1">
      <c r="A12" s="18" t="n">
        <v>8</v>
      </c>
      <c r="B12" s="7" t="inlineStr">
        <is>
          <t>Wyoming DEQ written confirmation that Casper facility permit renewal (WY-HW-2019-033) is proceeding and timely renewal provisions are in effect</t>
        </is>
      </c>
      <c r="C12" s="7" t="inlineStr">
        <is>
          <t>RF-08</t>
        </is>
      </c>
      <c r="D12" s="7" t="inlineStr">
        <is>
          <t>Pre-Closing</t>
        </is>
      </c>
      <c r="E12" s="7" t="inlineStr">
        <is>
          <t>Seller / Env. Counsel</t>
        </is>
      </c>
      <c r="F12" s="22" t="inlineStr">
        <is>
          <t>MEDIUM</t>
        </is>
      </c>
      <c r="G12" s="7" t="inlineStr">
        <is>
          <t>Open</t>
        </is>
      </c>
      <c r="H12" s="7" t="inlineStr">
        <is>
          <t>Permit expired November 30, 2024; renewal expected Q1 2025</t>
        </is>
      </c>
    </row>
    <row r="13" ht="56" customHeight="1">
      <c r="A13" s="14" t="n">
        <v>9</v>
      </c>
      <c r="B13" s="10" t="inlineStr">
        <is>
          <t>Confirmation of Intermountain Health Systems contract renewal status (contract expires June 30, 2025; renewal option not yet exercised)</t>
        </is>
      </c>
      <c r="C13" s="10" t="inlineStr">
        <is>
          <t>RF-12</t>
        </is>
      </c>
      <c r="D13" s="10" t="inlineStr">
        <is>
          <t>Pre-Signing</t>
        </is>
      </c>
      <c r="E13" s="10" t="inlineStr">
        <is>
          <t>Seller / Commercial Counsel</t>
        </is>
      </c>
      <c r="F13" s="22" t="inlineStr">
        <is>
          <t>MEDIUM</t>
        </is>
      </c>
      <c r="G13" s="10" t="inlineStr">
        <is>
          <t>Open</t>
        </is>
      </c>
      <c r="H13" s="10" t="inlineStr">
        <is>
          <t>$7.1M annual revenue; renewal decision expected February 2025</t>
        </is>
      </c>
    </row>
    <row r="14" ht="56" customHeight="1">
      <c r="A14" s="18" t="n">
        <v>10</v>
      </c>
      <c r="B14" s="7" t="inlineStr">
        <is>
          <t>Full disclosure and documentation of NLRB election petition (Teamsters Local 455, filed November 4, 2024) including bargaining unit description, election timeline, and Company response strategy</t>
        </is>
      </c>
      <c r="C14" s="7" t="inlineStr">
        <is>
          <t>RF-17</t>
        </is>
      </c>
      <c r="D14" s="7" t="inlineStr">
        <is>
          <t>Pre-Signing</t>
        </is>
      </c>
      <c r="E14" s="7" t="inlineStr">
        <is>
          <t>Seller / Labor Counsel</t>
        </is>
      </c>
      <c r="F14" s="19" t="inlineStr">
        <is>
          <t>HIGH</t>
        </is>
      </c>
      <c r="G14" s="7" t="inlineStr">
        <is>
          <t>Open</t>
        </is>
      </c>
      <c r="H14" s="7" t="inlineStr">
        <is>
          <t>Disclosed only in footnote; not in CIM or Litigation Summary</t>
        </is>
      </c>
    </row>
    <row r="15" ht="56" customHeight="1">
      <c r="A15" s="14" t="n">
        <v>11</v>
      </c>
      <c r="B15" s="10" t="inlineStr">
        <is>
          <t>Confirmation that all required landlord consents for the proposed transaction have been obtained or waived for all 7 leases requiring consent</t>
        </is>
      </c>
      <c r="C15" s="10" t="inlineStr">
        <is>
          <t>RF-14</t>
        </is>
      </c>
      <c r="D15" s="10" t="inlineStr">
        <is>
          <t>Pre-Closing</t>
        </is>
      </c>
      <c r="E15" s="10" t="inlineStr">
        <is>
          <t>Seller / Real Estate Counsel</t>
        </is>
      </c>
      <c r="F15" s="22" t="inlineStr">
        <is>
          <t>MEDIUM</t>
        </is>
      </c>
      <c r="G15" s="10" t="inlineStr">
        <is>
          <t>Open</t>
        </is>
      </c>
      <c r="H15" s="10" t="inlineStr">
        <is>
          <t>7 of 10 leases require landlord consent; Pueblo lease expires at closing</t>
        </is>
      </c>
    </row>
    <row r="16" ht="56" customHeight="1">
      <c r="A16" s="18" t="n">
        <v>12</v>
      </c>
      <c r="B16" s="7" t="inlineStr">
        <is>
          <t>Confirmation of treatment of change-of-control severance payments ($3,775,000 aggregate) as Transaction Expenses deducted from purchase price, documented in SPA</t>
        </is>
      </c>
      <c r="C16" s="7" t="inlineStr">
        <is>
          <t>RF-18</t>
        </is>
      </c>
      <c r="D16" s="7" t="inlineStr">
        <is>
          <t>Pre-Signing</t>
        </is>
      </c>
      <c r="E16" s="7" t="inlineStr">
        <is>
          <t>Buyer Counsel / Seller Counsel</t>
        </is>
      </c>
      <c r="F16" s="22" t="inlineStr">
        <is>
          <t>MEDIUM</t>
        </is>
      </c>
      <c r="G16" s="7" t="inlineStr">
        <is>
          <t>Open</t>
        </is>
      </c>
      <c r="H16" s="7" t="inlineStr">
        <is>
          <t>Single-trigger payments ($2.625M) are certain at closing regardless of employment</t>
        </is>
      </c>
    </row>
  </sheetData>
  <mergeCells count="3">
    <mergeCell ref="A3:H3"/>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2" customWidth="1" min="1" max="1"/>
    <col width="42" customWidth="1" min="2" max="2"/>
    <col width="14" customWidth="1" min="3" max="3"/>
    <col width="14" customWidth="1" min="4" max="4"/>
    <col width="36" customWidth="1" min="5" max="5"/>
  </cols>
  <sheetData>
    <row r="1" ht="26" customHeight="1">
      <c r="A1" s="13" t="inlineStr">
        <is>
          <t>PROJECT RIDGELINE — INDICATIVE VALUATION BRIDGE</t>
        </is>
      </c>
    </row>
    <row r="2" ht="16" customHeight="1">
      <c r="A2" s="2" t="inlineStr">
        <is>
          <t>Illustrative only — based on diligence findings | All figures in $000s | December 2024</t>
        </is>
      </c>
    </row>
    <row r="3" ht="6" customHeight="1">
      <c r="A3" s="3" t="n"/>
    </row>
    <row r="4" ht="28" customHeight="1">
      <c r="A4" s="4" t="inlineStr">
        <is>
          <t>Item</t>
        </is>
      </c>
      <c r="B4" s="4" t="inlineStr">
        <is>
          <t>Description</t>
        </is>
      </c>
      <c r="C4" s="4" t="inlineStr">
        <is>
          <t>Low ($000s)</t>
        </is>
      </c>
      <c r="D4" s="4" t="inlineStr">
        <is>
          <t>High ($000s)</t>
        </is>
      </c>
      <c r="E4" s="4" t="inlineStr">
        <is>
          <t>Notes</t>
        </is>
      </c>
    </row>
    <row r="5" ht="22" customHeight="1">
      <c r="A5" s="26" t="inlineStr">
        <is>
          <t>Seller's Indicative EV (Midpoint)</t>
        </is>
      </c>
      <c r="B5" s="10" t="inlineStr">
        <is>
          <t>Per CIM / LOI at 8.5x $22.8M Adj. EBITDA</t>
        </is>
      </c>
      <c r="C5" s="27" t="n">
        <v>193500</v>
      </c>
      <c r="D5" s="27" t="n">
        <v>193500</v>
      </c>
      <c r="E5" s="10" t="inlineStr">
        <is>
          <t>Midpoint of $182M–$205M range</t>
        </is>
      </c>
    </row>
    <row r="6" ht="22" customHeight="1">
      <c r="A6" s="28" t="inlineStr"/>
      <c r="B6" s="28" t="inlineStr"/>
      <c r="C6" s="28" t="n"/>
      <c r="D6" s="28" t="n"/>
      <c r="E6" s="28" t="inlineStr"/>
    </row>
    <row r="7" ht="22" customHeight="1">
      <c r="A7" s="26" t="inlineStr">
        <is>
          <t>EBITDA Add-Back Haircut (50%)</t>
        </is>
      </c>
      <c r="B7" s="10" t="inlineStr">
        <is>
          <t>Conservative buyer-standard add-back restatement</t>
        </is>
      </c>
      <c r="C7" s="27" t="n">
        <v>-10800</v>
      </c>
      <c r="D7" s="27" t="n">
        <v>-7500</v>
      </c>
      <c r="E7" s="10" t="inlineStr">
        <is>
          <t>50% haircut on $5.4M add-backs at 8.0–9.0x</t>
        </is>
      </c>
    </row>
    <row r="8" ht="22" customHeight="1">
      <c r="A8" s="29" t="inlineStr">
        <is>
          <t>EBITDA Reconciliation Discrepancy</t>
        </is>
      </c>
      <c r="B8" s="7" t="inlineStr">
        <is>
          <t>Pending resolution of $1.0M gap</t>
        </is>
      </c>
      <c r="C8" s="30" t="n">
        <v>-9000</v>
      </c>
      <c r="D8" s="30" t="n">
        <v>-8000</v>
      </c>
      <c r="E8" s="7" t="inlineStr">
        <is>
          <t>At 8.0–9.0x multiple</t>
        </is>
      </c>
    </row>
    <row r="9" ht="22" customHeight="1">
      <c r="A9" s="26" t="inlineStr">
        <is>
          <t>DOE Ceiling Exhaustion (revenue headwind)</t>
        </is>
      </c>
      <c r="B9" s="10" t="inlineStr">
        <is>
          <t>FY2025 DOE revenue decline at 35% GM, 8.5x</t>
        </is>
      </c>
      <c r="C9" s="27" t="n">
        <v>-15000</v>
      </c>
      <c r="D9" s="27" t="n">
        <v>-20000</v>
      </c>
      <c r="E9" s="10" t="inlineStr">
        <is>
          <t>Illustrative; depends on DOE ceiling modification</t>
        </is>
      </c>
    </row>
    <row r="10" ht="22" customHeight="1">
      <c r="A10" s="29" t="inlineStr">
        <is>
          <t>Fleet Replacement Backlog</t>
        </is>
      </c>
      <c r="B10" s="7" t="inlineStr">
        <is>
          <t>Deferred capex liability</t>
        </is>
      </c>
      <c r="C10" s="30" t="n">
        <v>-9800</v>
      </c>
      <c r="D10" s="30" t="n">
        <v>-9800</v>
      </c>
      <c r="E10" s="7" t="inlineStr">
        <is>
          <t>Direct liability; 38 of 85 assets past useful life</t>
        </is>
      </c>
    </row>
    <row r="11" ht="22" customHeight="1">
      <c r="A11" s="26" t="inlineStr">
        <is>
          <t>CDPHE Enforcement Action</t>
        </is>
      </c>
      <c r="B11" s="10" t="inlineStr">
        <is>
          <t>Unaccrued penalty (CDPHE position)</t>
        </is>
      </c>
      <c r="C11" s="27" t="n">
        <v>-1163</v>
      </c>
      <c r="D11" s="27" t="n">
        <v>-200</v>
      </c>
      <c r="E11" s="10" t="inlineStr">
        <is>
          <t>Range: Company position to CDPHE position</t>
        </is>
      </c>
    </row>
    <row r="12" ht="22" customHeight="1">
      <c r="A12" s="29" t="inlineStr">
        <is>
          <t>Ramirez Personal Injury</t>
        </is>
      </c>
      <c r="B12" s="7" t="inlineStr">
        <is>
          <t>Unaccrued contingent liability (midpoint)</t>
        </is>
      </c>
      <c r="C12" s="30" t="n">
        <v>-1000</v>
      </c>
      <c r="D12" s="30" t="n">
        <v>-500</v>
      </c>
      <c r="E12" s="7" t="inlineStr">
        <is>
          <t>Midpoint of $500K–$1.5M management estimate</t>
        </is>
      </c>
    </row>
    <row r="13" ht="22" customHeight="1">
      <c r="A13" s="26" t="inlineStr">
        <is>
          <t>CoC Severance (if buyer-borne)</t>
        </is>
      </c>
      <c r="B13" s="10" t="inlineStr">
        <is>
          <t>Single-trigger Calloway payments</t>
        </is>
      </c>
      <c r="C13" s="27" t="n">
        <v>-2625</v>
      </c>
      <c r="D13" s="27" t="n">
        <v>-2625</v>
      </c>
      <c r="E13" s="10" t="inlineStr">
        <is>
          <t>Certain at closing; allocation TBD</t>
        </is>
      </c>
    </row>
    <row r="14" ht="22" customHeight="1">
      <c r="A14" s="29" t="inlineStr">
        <is>
          <t>Environmental Remediation Upside Risk</t>
        </is>
      </c>
      <c r="B14" s="7" t="inlineStr">
        <is>
          <t>Potential additional remediation cost above accrual</t>
        </is>
      </c>
      <c r="C14" s="30" t="n">
        <v>-5000</v>
      </c>
      <c r="D14" s="30" t="n">
        <v>-2000</v>
      </c>
      <c r="E14" s="7" t="inlineStr">
        <is>
          <t>Based on stale 2019 ESA; vapor intrusion unquantified</t>
        </is>
      </c>
    </row>
    <row r="15" ht="22" customHeight="1">
      <c r="A15" s="28" t="inlineStr"/>
      <c r="B15" s="28" t="inlineStr"/>
      <c r="C15" s="28" t="n"/>
      <c r="D15" s="28" t="n"/>
      <c r="E15" s="28" t="inlineStr"/>
    </row>
    <row r="16" ht="22" customHeight="1">
      <c r="A16" s="31" t="inlineStr">
        <is>
          <t>Total Adjustments</t>
        </is>
      </c>
      <c r="B16" s="31" t="inlineStr">
        <is>
          <t>Sum of all diligence adjustments</t>
        </is>
      </c>
      <c r="C16" s="32">
        <f>SUM(C7:C16)</f>
        <v/>
      </c>
      <c r="D16" s="32">
        <f>SUM(D7:D16)</f>
        <v/>
      </c>
      <c r="E16" s="31" t="inlineStr">
        <is>
          <t>Illustrative; subject to QofE and legal confirmation</t>
        </is>
      </c>
    </row>
    <row r="17" ht="22" customHeight="1">
      <c r="A17" s="31" t="inlineStr">
        <is>
          <t>Buyer-Adjusted Indicative EV</t>
        </is>
      </c>
      <c r="B17" s="31" t="inlineStr">
        <is>
          <t>Seller EV + Total Adjustments</t>
        </is>
      </c>
      <c r="C17" s="32">
        <f>C5+C17</f>
        <v/>
      </c>
      <c r="D17" s="32">
        <f>D5+D17</f>
        <v/>
      </c>
      <c r="E17" s="31" t="inlineStr">
        <is>
          <t>Illustrative range; not a formal offer</t>
        </is>
      </c>
    </row>
  </sheetData>
  <mergeCells count="3">
    <mergeCell ref="A2:E2"/>
    <mergeCell ref="A1:E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2026-08-25T14:47:52Z</dcterms:created>
  <dcterms:modified xmlns:dcterms="http://purl.org/dc/terms/" xmlns:xsi="http://www.w3.org/2001/XMLSchema-instance" xsi:type="dcterms:W3CDTF">2026-08-25T14:47:52Z</dcterms:modified>
</cp:coreProperties>
</file>