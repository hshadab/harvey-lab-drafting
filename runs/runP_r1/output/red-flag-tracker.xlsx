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d Flag Tracker" sheetId="1" state="visible" r:id="rId1"/>
    <sheet xmlns:r="http://schemas.openxmlformats.org/officeDocument/2006/relationships" name="Summary Dashboard" sheetId="2" state="visible" r:id="rId2"/>
    <sheet xmlns:r="http://schemas.openxmlformats.org/officeDocument/2006/relationships" name="EBITDA Bridge Analysis" sheetId="3" state="visible" r:id="rId3"/>
    <sheet xmlns:r="http://schemas.openxmlformats.org/officeDocument/2006/relationships" name="Diligence Checklist" sheetId="4" state="visible" r:id="rId4"/>
  </sheets>
  <definedNames>
    <definedName name="_xlnm._FilterDatabase" localSheetId="0" hidden="1">'Red Flag Tracker'!$A$3:$L$33</definedName>
    <definedName name="_xlnm._FilterDatabase" localSheetId="3" hidden="1">'Diligence Checklist'!$A$3:$F$31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4"/>
    </font>
    <font>
      <name val="Calibri"/>
      <i val="1"/>
      <color rgb="00FFFFFF"/>
      <sz val="9"/>
    </font>
    <font>
      <name val="Calibri"/>
      <b val="1"/>
      <color rgb="00FFFFFF"/>
      <sz val="9"/>
    </font>
    <font>
      <name val="Calibri"/>
      <b val="1"/>
      <color rgb="00000000"/>
      <sz val="9"/>
    </font>
    <font>
      <name val="Calibri"/>
      <color rgb="00000000"/>
      <sz val="9"/>
    </font>
    <font>
      <name val="Calibri"/>
      <color rgb="007F6000"/>
      <sz val="9"/>
    </font>
    <font>
      <name val="Calibri"/>
      <b val="1"/>
      <color rgb="001F3864"/>
      <sz val="11"/>
    </font>
    <font>
      <name val="Calibri"/>
      <b val="1"/>
      <color rgb="00FFFFFF"/>
      <sz val="10"/>
    </font>
    <font>
      <name val="Calibri"/>
      <b val="1"/>
      <color rgb="00000000"/>
      <sz val="10"/>
    </font>
    <font>
      <name val="Calibri"/>
      <color rgb="00000000"/>
      <sz val="10"/>
    </font>
    <font>
      <name val="Calibri"/>
      <b val="1"/>
      <color rgb="00FFFFFF"/>
      <sz val="13"/>
    </font>
    <font>
      <name val="Calibri"/>
      <b val="1"/>
      <color rgb="007F3F00"/>
      <sz val="9"/>
    </font>
    <font>
      <name val="Calibri"/>
      <b val="1"/>
      <color rgb="00375623"/>
      <sz val="9"/>
    </font>
    <font>
      <name val="Calibri"/>
      <b val="1"/>
      <color rgb="00C00000"/>
      <sz val="9"/>
    </font>
  </fonts>
  <fills count="15">
    <fill>
      <patternFill/>
    </fill>
    <fill>
      <patternFill patternType="gray125"/>
    </fill>
    <fill>
      <patternFill patternType="solid">
        <fgColor rgb="001F3864"/>
      </patternFill>
    </fill>
    <fill>
      <patternFill patternType="solid">
        <fgColor rgb="00FFE0E0"/>
      </patternFill>
    </fill>
    <fill>
      <patternFill patternType="solid">
        <fgColor rgb="00C00000"/>
      </patternFill>
    </fill>
    <fill>
      <patternFill patternType="solid">
        <fgColor rgb="00FFF2CC"/>
      </patternFill>
    </fill>
    <fill>
      <patternFill patternType="solid">
        <fgColor rgb="00ED7D31"/>
      </patternFill>
    </fill>
    <fill>
      <patternFill patternType="solid">
        <fgColor rgb="00FFFDE7"/>
      </patternFill>
    </fill>
    <fill>
      <patternFill patternType="solid">
        <fgColor rgb="00FFD966"/>
      </patternFill>
    </fill>
    <fill>
      <patternFill patternType="solid">
        <fgColor rgb="00E2EFDA"/>
      </patternFill>
    </fill>
    <fill>
      <patternFill patternType="solid">
        <fgColor rgb="00A9D18E"/>
      </patternFill>
    </fill>
    <fill>
      <patternFill patternType="solid">
        <fgColor rgb="00F2F2F2"/>
      </patternFill>
    </fill>
    <fill>
      <patternFill patternType="solid">
        <fgColor rgb="00FFFFFF"/>
      </patternFill>
    </fill>
    <fill>
      <patternFill patternType="solid">
        <fgColor rgb="00D9D9D9"/>
      </patternFill>
    </fill>
    <fill>
      <patternFill patternType="solid">
        <fgColor rgb="00DEEA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3" borderId="1" applyAlignment="1" pivotButton="0" quotePrefix="0" xfId="0">
      <alignment horizontal="left" vertical="top" wrapText="1"/>
    </xf>
    <xf numFmtId="0" fontId="3"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top" wrapText="1"/>
    </xf>
    <xf numFmtId="0" fontId="3"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7" borderId="1" applyAlignment="1" pivotButton="0" quotePrefix="0" xfId="0">
      <alignment horizontal="left" vertical="top"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top" wrapText="1"/>
    </xf>
    <xf numFmtId="0" fontId="4" fillId="10" borderId="1" applyAlignment="1" pivotButton="0" quotePrefix="0" xfId="0">
      <alignment horizontal="center" vertical="center" wrapText="1"/>
    </xf>
    <xf numFmtId="0" fontId="7" fillId="0" borderId="0" applyAlignment="1" pivotButton="0" quotePrefix="0" xfId="0">
      <alignment horizontal="left" vertical="center" wrapText="1"/>
    </xf>
    <xf numFmtId="0" fontId="8" fillId="4" borderId="1" applyAlignment="1" pivotButton="0" quotePrefix="0" xfId="0">
      <alignment horizontal="center" vertical="center" wrapText="1"/>
    </xf>
    <xf numFmtId="0" fontId="10" fillId="11" borderId="1" applyAlignment="1" pivotButton="0" quotePrefix="0" xfId="0">
      <alignment horizontal="left" vertical="center" wrapText="1"/>
    </xf>
    <xf numFmtId="0" fontId="9" fillId="11"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10"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11" borderId="1" applyAlignment="1" pivotButton="0" quotePrefix="0" xfId="0">
      <alignment horizontal="left" vertical="center" wrapText="1"/>
    </xf>
    <xf numFmtId="0" fontId="4" fillId="11" borderId="1" applyAlignment="1" pivotButton="0" quotePrefix="0" xfId="0">
      <alignment horizontal="left" vertical="center" wrapText="1"/>
    </xf>
    <xf numFmtId="0" fontId="5" fillId="12" borderId="1" applyAlignment="1" pivotButton="0" quotePrefix="0" xfId="0">
      <alignment horizontal="left" vertical="center" wrapText="1"/>
    </xf>
    <xf numFmtId="0" fontId="4" fillId="12" borderId="1" applyAlignment="1" pivotButton="0" quotePrefix="0" xfId="0">
      <alignment horizontal="left" vertical="center" wrapText="1"/>
    </xf>
    <xf numFmtId="0" fontId="11" fillId="2" borderId="0" applyAlignment="1" pivotButton="0" quotePrefix="0" xfId="0">
      <alignment horizontal="center" vertical="center" wrapText="1"/>
    </xf>
    <xf numFmtId="3" fontId="5" fillId="12" borderId="1" applyAlignment="1" pivotButton="0" quotePrefix="0" xfId="0">
      <alignment horizontal="right" vertical="center" wrapText="1"/>
    </xf>
    <xf numFmtId="0" fontId="5" fillId="12" borderId="1" applyAlignment="1" pivotButton="0" quotePrefix="0" xfId="0">
      <alignment horizontal="center" vertical="center" wrapText="1"/>
    </xf>
    <xf numFmtId="3" fontId="5" fillId="11" borderId="1" applyAlignment="1" pivotButton="0" quotePrefix="0" xfId="0">
      <alignment horizontal="right" vertical="center" wrapText="1"/>
    </xf>
    <xf numFmtId="0" fontId="12" fillId="5" borderId="1" applyAlignment="1" pivotButton="0" quotePrefix="0" xfId="0">
      <alignment horizontal="center" vertical="center" wrapText="1"/>
    </xf>
    <xf numFmtId="0" fontId="13" fillId="9" borderId="1" applyAlignment="1" pivotButton="0" quotePrefix="0" xfId="0">
      <alignment horizontal="center" vertical="center" wrapText="1"/>
    </xf>
    <xf numFmtId="0" fontId="4" fillId="13" borderId="1" applyAlignment="1" pivotButton="0" quotePrefix="0" xfId="0">
      <alignment horizontal="left" vertical="center" wrapText="1"/>
    </xf>
    <xf numFmtId="3" fontId="4" fillId="13" borderId="1" applyAlignment="1" pivotButton="0" quotePrefix="0" xfId="0">
      <alignment horizontal="right" vertical="center" wrapText="1"/>
    </xf>
    <xf numFmtId="0" fontId="14" fillId="3" borderId="1" applyAlignment="1" pivotButton="0" quotePrefix="0" xfId="0">
      <alignment horizontal="center" vertical="center" wrapText="1"/>
    </xf>
    <xf numFmtId="0" fontId="5" fillId="14" borderId="1" applyAlignment="1" pivotButton="0" quotePrefix="0" xfId="0">
      <alignment horizontal="left" vertical="center" wrapText="1"/>
    </xf>
    <xf numFmtId="3" fontId="5" fillId="14" borderId="1" applyAlignment="1" pivotButton="0" quotePrefix="0" xfId="0">
      <alignment horizontal="right" vertical="center" wrapText="1"/>
    </xf>
    <xf numFmtId="0" fontId="4" fillId="11" borderId="1" applyAlignment="1" pivotButton="0" quotePrefix="0" xfId="0">
      <alignment horizontal="center" vertical="center" wrapText="1"/>
    </xf>
    <xf numFmtId="0" fontId="5" fillId="12" borderId="1" applyAlignment="1" pivotButton="0" quotePrefix="0" xfId="0">
      <alignment horizontal="left" vertical="top" wrapText="1"/>
    </xf>
    <xf numFmtId="0" fontId="5" fillId="1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showGridLines="0" workbookViewId="0">
      <pane ySplit="3" topLeftCell="A4" activePane="bottomLeft" state="frozen"/>
      <selection pane="bottomLeft" activeCell="A1" sqref="A1"/>
    </sheetView>
  </sheetViews>
  <sheetFormatPr baseColWidth="8" defaultRowHeight="15"/>
  <cols>
    <col width="4" customWidth="1" min="1" max="1"/>
    <col width="18" customWidth="1" min="2" max="2"/>
    <col width="38" customWidth="1" min="3" max="3"/>
    <col width="9" customWidth="1" min="4" max="4"/>
    <col width="22" customWidth="1" min="5" max="5"/>
    <col width="52" customWidth="1" min="6" max="6"/>
    <col width="18" customWidth="1" min="7" max="7"/>
    <col width="12" customWidth="1" min="8" max="8"/>
    <col width="28" customWidth="1" min="9" max="9"/>
    <col width="28" customWidth="1" min="10" max="10"/>
    <col width="12" customWidth="1" min="11" max="11"/>
    <col width="10" customWidth="1" min="12" max="12"/>
  </cols>
  <sheetData>
    <row r="1" ht="28" customHeight="1">
      <c r="A1" s="1" t="inlineStr">
        <is>
          <t>PROJECT RIDGELINE — ACQUISITION DUE DILIGENCE RED FLAG TRACKER</t>
        </is>
      </c>
    </row>
    <row r="2" ht="16" customHeight="1">
      <c r="A2" s="2" t="inlineStr">
        <is>
          <t>Target: Ridgeline Environmental Services, Inc.  |  Buyer: Sycamore Capital Partners, LP  |  Indicative EV: $182M–$205M  |  Memo Date: December 2024</t>
        </is>
      </c>
    </row>
    <row r="3" ht="30" customHeight="1">
      <c r="A3" s="3" t="inlineStr">
        <is>
          <t>#</t>
        </is>
      </c>
      <c r="B3" s="3" t="inlineStr">
        <is>
          <t>Category</t>
        </is>
      </c>
      <c r="C3" s="3" t="inlineStr">
        <is>
          <t>Red Flag / Issue</t>
        </is>
      </c>
      <c r="D3" s="3" t="inlineStr">
        <is>
          <t>Severity</t>
        </is>
      </c>
      <c r="E3" s="3" t="inlineStr">
        <is>
          <t>Source Document(s)</t>
        </is>
      </c>
      <c r="F3" s="3" t="inlineStr">
        <is>
          <t>Detailed Finding</t>
        </is>
      </c>
      <c r="G3" s="3" t="inlineStr">
        <is>
          <t>Quantified Exposure</t>
        </is>
      </c>
      <c r="H3" s="3" t="inlineStr">
        <is>
          <t>Probability</t>
        </is>
      </c>
      <c r="I3" s="3" t="inlineStr">
        <is>
          <t>Buyer Action Required</t>
        </is>
      </c>
      <c r="J3" s="3" t="inlineStr">
        <is>
          <t>SPA / Structuring Implication</t>
        </is>
      </c>
      <c r="K3" s="3" t="inlineStr">
        <is>
          <t>Status</t>
        </is>
      </c>
      <c r="L3" s="3" t="inlineStr">
        <is>
          <t>Priority</t>
        </is>
      </c>
    </row>
    <row r="4" ht="80" customHeight="1">
      <c r="A4" s="4" t="n">
        <v>1</v>
      </c>
      <c r="B4" s="5" t="inlineStr">
        <is>
          <t>Financial / QoE</t>
        </is>
      </c>
      <c r="C4" s="5" t="inlineStr">
        <is>
          <t>Adjusted EBITDA Discrepancy ($1.0M Gap)</t>
        </is>
      </c>
      <c r="D4" s="6" t="inlineStr">
        <is>
          <t>CRITICAL</t>
        </is>
      </c>
      <c r="E4" s="5" t="inlineStr">
        <is>
          <t>QoE Data Request Response (EBITDA Bridge tab); CIM §VI.B</t>
        </is>
      </c>
      <c r="F4" s="5" t="inlineStr">
        <is>
          <t>The QoE data package shows Management Adjusted EBITDA of $23.8M, while the CIM and LOI reference $22.8M — a $1.0M unexplained gap. Management acknowledges the discrepancy but has not identified the specific adjustment category causing it. This undermines confidence in the entire EBITDA bridge and the reliability of the $22.8M figure used to set the $182M–$205M EV range.</t>
        </is>
      </c>
      <c r="G4" s="5" t="inlineStr">
        <is>
          <t>$1.0M EBITDA discrepancy; at 8–9x multiple = $8M–$9M EV impact</t>
        </is>
      </c>
      <c r="H4" s="5" t="inlineStr">
        <is>
          <t>Probable</t>
        </is>
      </c>
      <c r="I4" s="5" t="inlineStr">
        <is>
          <t>Demand full reconciliation of all adjustment line items before LOI confirmation; require QoE firm sign-off on final Adjusted EBITDA figure.</t>
        </is>
      </c>
      <c r="J4" s="5" t="inlineStr">
        <is>
          <t>Condition precedent to final EV determination; potential price chip if EBITDA confirmed lower.</t>
        </is>
      </c>
      <c r="K4" s="7" t="inlineStr">
        <is>
          <t>Open</t>
        </is>
      </c>
      <c r="L4" s="4" t="inlineStr">
        <is>
          <t>P1</t>
        </is>
      </c>
    </row>
    <row r="5" ht="80" customHeight="1">
      <c r="A5" s="4" t="n">
        <v>2</v>
      </c>
      <c r="B5" s="5" t="inlineStr">
        <is>
          <t>Financial / QoE</t>
        </is>
      </c>
      <c r="C5" s="5" t="inlineStr">
        <is>
          <t>Reported EBITDA Decline: -27% YoY (FY2023→FY2024)</t>
        </is>
      </c>
      <c r="D5" s="6" t="inlineStr">
        <is>
          <t>CRITICAL</t>
        </is>
      </c>
      <c r="E5" s="5" t="inlineStr">
        <is>
          <t>QoE Data Request Response (Historical P&amp;L tab)</t>
        </is>
      </c>
      <c r="F5" s="5" t="inlineStr">
        <is>
          <t>Reported EBITDA fell from $25.2M (FY2023) to $18.4M (FY2024) — a 27% decline — while revenue grew 11%. Management attributes the entire $6.8M decline to non-recurring items totaling $5.4M in add-backs. The magnitude and clustering of add-backs in a single year is a significant quality-of-earnings concern. Recurring add-backs in FY2022 ($2.2M) and FY2023 ($2.9M) further suggest these costs may be structural.</t>
        </is>
      </c>
      <c r="G5" s="5" t="inlineStr">
        <is>
          <t>Potential $5.4M in recurring costs misclassified as non-recurring; EV impact $43M–$49M at 8–9x</t>
        </is>
      </c>
      <c r="H5" s="5" t="inlineStr">
        <is>
          <t>Reasonably Possible</t>
        </is>
      </c>
      <c r="I5" s="5" t="inlineStr">
        <is>
          <t>QoE firm must independently validate each add-back; test recurrence of integration, ERP, and litigation costs across prior years.</t>
        </is>
      </c>
      <c r="J5" s="5" t="inlineStr">
        <is>
          <t>If add-backs are disallowed, Adjusted EBITDA falls to $18.4M; EV range drops to $147M–$166M.</t>
        </is>
      </c>
      <c r="K5" s="7" t="inlineStr">
        <is>
          <t>Open</t>
        </is>
      </c>
      <c r="L5" s="4" t="inlineStr">
        <is>
          <t>P1</t>
        </is>
      </c>
    </row>
    <row r="6" ht="80" customHeight="1">
      <c r="A6" s="8" t="n">
        <v>3</v>
      </c>
      <c r="B6" s="9" t="inlineStr">
        <is>
          <t>Financial / QoE</t>
        </is>
      </c>
      <c r="C6" s="9" t="inlineStr">
        <is>
          <t>Owner Compensation Add-Back Questionability ($950K)</t>
        </is>
      </c>
      <c r="D6" s="10" t="inlineStr">
        <is>
          <t>HIGH</t>
        </is>
      </c>
      <c r="E6" s="9" t="inlineStr">
        <is>
          <t>QoE Data Request Response (EBITDA Bridge &amp; Exec Comp tabs); Employment Agreements Summary</t>
        </is>
      </c>
      <c r="F6" s="9" t="inlineStr">
        <is>
          <t>CEO and COO each earn $875K base ($1.75M total). The $950K add-back normalizes to $400K each ($800K total). However, both founders receive single-trigger CoC severance of $1.3125M each ($2.625M combined) payable at closing — suggesting their true economic cost to the business is far higher than the normalized $800K. Additionally, the CIM bonus target is stated as 25% of base, but the employment agreements show 50% target — a material inconsistency.</t>
        </is>
      </c>
      <c r="G6" s="9" t="inlineStr">
        <is>
          <t>$950K annual add-back; $2.625M single-trigger severance payable at closing</t>
        </is>
      </c>
      <c r="H6" s="9" t="inlineStr">
        <is>
          <t>Probable</t>
        </is>
      </c>
      <c r="I6" s="9" t="inlineStr">
        <is>
          <t>Verify actual replacement cost for CEO/COO roles; confirm bonus target discrepancy; negotiate treatment of CoC severance in purchase price.</t>
        </is>
      </c>
      <c r="J6" s="9" t="inlineStr">
        <is>
          <t>CoC severance ($2.625M) must be classified as Transaction Expense or seller-borne cost; adjust purchase price accordingly.</t>
        </is>
      </c>
      <c r="K6" s="7" t="inlineStr">
        <is>
          <t>Open</t>
        </is>
      </c>
      <c r="L6" s="8" t="inlineStr">
        <is>
          <t>P1</t>
        </is>
      </c>
    </row>
    <row r="7" ht="80" customHeight="1">
      <c r="A7" s="8" t="n">
        <v>4</v>
      </c>
      <c r="B7" s="9" t="inlineStr">
        <is>
          <t>Financial / QoE</t>
        </is>
      </c>
      <c r="C7" s="9" t="inlineStr">
        <is>
          <t>Litigation Settlement Add-Back Misidentified in CIM</t>
        </is>
      </c>
      <c r="D7" s="10" t="inlineStr">
        <is>
          <t>HIGH</t>
        </is>
      </c>
      <c r="E7" s="9" t="inlineStr">
        <is>
          <t>QoE Data Request Response (EBITDA Bridge); Litigation &amp; Regulatory Summary §II.A, §IV.A</t>
        </is>
      </c>
      <c r="F7" s="9" t="inlineStr">
        <is>
          <t>The CIM describes the $1.2M litigation settlement add-back as a 'one-time litigation settlement resolved during the period.' The QoE data package labels it as the Harper Environmental counterclaim settlement. However, the Litigation Summary clarifies the $1.2M relates to the Clearwater Logistics settlement (a net receipt, not a payment). The Harper matter is still pending with a $340K counterclaim exposure. Adding back a cash receipt as a non-recurring item inflates EBITDA; the correct treatment is to exclude it from revenue, not add it back.</t>
        </is>
      </c>
      <c r="G7" s="9" t="inlineStr">
        <is>
          <t>$1.2M EBITDA add-back may be improperly structured; net EV impact $9.6M–$10.8M</t>
        </is>
      </c>
      <c r="H7" s="9" t="inlineStr">
        <is>
          <t>Probable</t>
        </is>
      </c>
      <c r="I7" s="9" t="inlineStr">
        <is>
          <t>Require QoE firm to re-examine the nature of the $1.2M item; confirm whether it is a receipt (revenue) or cost avoidance.</t>
        </is>
      </c>
      <c r="J7" s="9" t="inlineStr">
        <is>
          <t>If add-back is disallowed, Adjusted EBITDA falls by $1.2M; price adjustment warranted.</t>
        </is>
      </c>
      <c r="K7" s="7" t="inlineStr">
        <is>
          <t>Open</t>
        </is>
      </c>
      <c r="L7" s="8" t="inlineStr">
        <is>
          <t>P1</t>
        </is>
      </c>
    </row>
    <row r="8" ht="80" customHeight="1">
      <c r="A8" s="8" t="n">
        <v>5</v>
      </c>
      <c r="B8" s="9" t="inlineStr">
        <is>
          <t>Financial / QoE</t>
        </is>
      </c>
      <c r="C8" s="9" t="inlineStr">
        <is>
          <t>Asbestos Wind-Down Add-Back Recurrence ($1.8M in FY2024; $920K in FY2023)</t>
        </is>
      </c>
      <c r="D8" s="10" t="inlineStr">
        <is>
          <t>HIGH</t>
        </is>
      </c>
      <c r="E8" s="9" t="inlineStr">
        <is>
          <t>QoE Data Request Response (EBITDA Bridge &amp; Service Line Detail tabs)</t>
        </is>
      </c>
      <c r="F8" s="9" t="inlineStr">
        <is>
          <t>The asbestos abatement wind-down cost of $1.8M is added back as non-recurring in FY2024, following $920K added back in FY2023. Two consecutive years of 'non-recurring' wind-down costs totaling $2.72M raises the question of whether additional tail costs remain. The service line generated $31.2M in cumulative revenue over 11 years (FY2012–FY2023) across CO, UT, WY, and MT. Two open workers' comp claims from former asbestos employees are noted in the QoE data.</t>
        </is>
      </c>
      <c r="G8" s="9" t="inlineStr">
        <is>
          <t>$2.72M in two-year add-backs; unquantified long-tail asbestos liability</t>
        </is>
      </c>
      <c r="H8" s="9" t="inlineStr">
        <is>
          <t>Reasonably Possible</t>
        </is>
      </c>
      <c r="I8" s="9" t="inlineStr">
        <is>
          <t>Obtain independent assessment of remaining wind-down costs; evaluate asbestos long-tail exposure with specialized counsel.</t>
        </is>
      </c>
      <c r="J8" s="9" t="inlineStr">
        <is>
          <t>Specific indemnification for asbestos tail claims; extended survival period (10+ years); separate escrow.</t>
        </is>
      </c>
      <c r="K8" s="7" t="inlineStr">
        <is>
          <t>Open</t>
        </is>
      </c>
      <c r="L8" s="8" t="inlineStr">
        <is>
          <t>P2</t>
        </is>
      </c>
    </row>
    <row r="9" ht="80" customHeight="1">
      <c r="A9" s="8" t="n">
        <v>6</v>
      </c>
      <c r="B9" s="9" t="inlineStr">
        <is>
          <t>Financial / QoE</t>
        </is>
      </c>
      <c r="C9" s="9" t="inlineStr">
        <is>
          <t>Maintenance CapEx Understated; Fleet Replacement Backlog ~$9.8M</t>
        </is>
      </c>
      <c r="D9" s="10" t="inlineStr">
        <is>
          <t>HIGH</t>
        </is>
      </c>
      <c r="E9" s="9" t="inlineStr">
        <is>
          <t>QoE Data Request Response (Fleet &amp; Equipment Schedule; Capex Detail tabs)</t>
        </is>
      </c>
      <c r="F9" s="9" t="inlineStr">
        <is>
          <t>44.7% of the fleet (38 of 85 units) is at or past stated useful life. Average fleet age is 8.2 years vs. 7.0-year useful life. Management's normalized maintenance CapEx of $4.0M–$4.5M/year is understated; spreading the $9.8M past-life replacement backlog over 3 years implies ~$3.3M/year in catch-up CapEx above the stated run-rate. Multiple units are flagged 'Replacement Deferred' with no scheduled replacement date, including 5 units marked 'At End of Life — No Replacement Scheduled.'</t>
        </is>
      </c>
      <c r="G9" s="9" t="inlineStr">
        <is>
          <t>$9.8M fleet replacement backlog; true normalized CapEx ~$7.3M–$7.8M/year vs. stated $4.0M–$4.5M</t>
        </is>
      </c>
      <c r="H9" s="9" t="inlineStr">
        <is>
          <t>Probable</t>
        </is>
      </c>
      <c r="I9" s="9" t="inlineStr">
        <is>
          <t>Commission independent fleet appraisal; adjust normalized CapEx in valuation model; negotiate CapEx true-up or price reduction.</t>
        </is>
      </c>
      <c r="J9" s="9" t="inlineStr">
        <is>
          <t>Reduce EBITDA-to-FCF bridge by ~$3.3M/year; adjust EV downward by $26M–$30M at 8–9x.</t>
        </is>
      </c>
      <c r="K9" s="7" t="inlineStr">
        <is>
          <t>Open</t>
        </is>
      </c>
      <c r="L9" s="8" t="inlineStr">
        <is>
          <t>P1</t>
        </is>
      </c>
    </row>
    <row r="10" ht="80" customHeight="1">
      <c r="A10" s="4" t="n">
        <v>7</v>
      </c>
      <c r="B10" s="5" t="inlineStr">
        <is>
          <t>Environmental</t>
        </is>
      </c>
      <c r="C10" s="5" t="inlineStr">
        <is>
          <t>Grand Junction Phase II ESA Stale (5+ Years); Contamination Unquantified</t>
        </is>
      </c>
      <c r="D10" s="6" t="inlineStr">
        <is>
          <t>CRITICAL</t>
        </is>
      </c>
      <c r="E10" s="5" t="inlineStr">
        <is>
          <t>Phase II ESA Executive Summary (June 2019); Real Property Lease Schedule §2.1; Environmental Permit Schedule §2.1</t>
        </is>
      </c>
      <c r="F10" s="5" t="inlineStr">
        <is>
          <t>The only Phase II ESA for the owned Grand Junction HQ (12.4 acres) is from June 2019 — over 5 years old. The ESA itself recommends updating before any property transaction. Contamination includes: (1) petroleum hydrocarbons (TPH-diesel up to 4,200 mg/kg; benzene in groundwater at 12 µg/L vs. 5 µg/L standard); (2) chlorinated solvents (PCE up to 18 mg/kg in soil; PCE 22 µg/L and TCE 8.7 µg/L in groundwater vs. 5 µg/L standard); (3) vapor intrusion risk to occupied maintenance building (PCE 450 µg/m³ vs. 240 µg/m³ RSL). No off-site sentinel wells installed; plume containment unconfirmed. DNAPL migration risk noted. 2019 cost estimate: $1.8M–$2.6M — likely materially understated given 5 years of potential migration and cost inflation.</t>
        </is>
      </c>
      <c r="G10" s="5" t="inlineStr">
        <is>
          <t>$1.8M–$2.6M (2019 estimate, likely understated); potential off-site liability unquantified; vapor intrusion mitigation TBD</t>
        </is>
      </c>
      <c r="H10" s="5" t="inlineStr">
        <is>
          <t>Probable</t>
        </is>
      </c>
      <c r="I10" s="5" t="inlineStr">
        <is>
          <t>Commission updated Phase II ESA and vapor intrusion assessment immediately; install off-site sentinel wells; obtain independent remediation cost estimate.</t>
        </is>
      </c>
      <c r="J10" s="5" t="inlineStr">
        <is>
          <t>Environmental reps survival 6 years (per LOI); specific environmental escrow; indemnification for costs exceeding current $3.2M accrual.</t>
        </is>
      </c>
      <c r="K10" s="7" t="inlineStr">
        <is>
          <t>Open</t>
        </is>
      </c>
      <c r="L10" s="4" t="inlineStr">
        <is>
          <t>P1</t>
        </is>
      </c>
    </row>
    <row r="11" ht="80" customHeight="1">
      <c r="A11" s="8" t="n">
        <v>8</v>
      </c>
      <c r="B11" s="9" t="inlineStr">
        <is>
          <t>Environmental</t>
        </is>
      </c>
      <c r="C11" s="9" t="inlineStr">
        <is>
          <t>CDPHE RCRA Enforcement Action Pending (Docket CDPHE-HW-2024-0093)</t>
        </is>
      </c>
      <c r="D11" s="10" t="inlineStr">
        <is>
          <t>HIGH</t>
        </is>
      </c>
      <c r="E11" s="9" t="inlineStr">
        <is>
          <t>Litigation &amp; Regulatory Summary §III.A; Environmental Permit Schedule §2.1; LOI §5.5</t>
        </is>
      </c>
      <c r="F11" s="9" t="inlineStr">
        <is>
          <t>CDPHE issued a Notice of Violation on July 18, 2024 for improper hazardous waste storage at Grand Junction. Company claims 12-day violation period (max penalty $450K); CDPHE claims 31-day period (max penalty $1.16M). No accrual recorded as of 9/30/2024. Settlement conference expected Q1 2025. The LOI specifically calls out this docket as warranting 'specific indemnification treatment.' A RCRA permit violation could also jeopardize the Grand Junction RCRA Part B permit (COD-098-2761), which expires 12/31/2026.</t>
        </is>
      </c>
      <c r="G11" s="9" t="inlineStr">
        <is>
          <t>$200K–$1.16M penalty; potential permit jeopardy</t>
        </is>
      </c>
      <c r="H11" s="9" t="inlineStr">
        <is>
          <t>Probable (some penalty)</t>
        </is>
      </c>
      <c r="I11" s="9" t="inlineStr">
        <is>
          <t>Obtain status update from CDPHE; require resolution or escrow before closing; evaluate permit renewal risk.</t>
        </is>
      </c>
      <c r="J11" s="9" t="inlineStr">
        <is>
          <t>Specific indemnification; separate escrow; condition closing on resolution or adequate reserve.</t>
        </is>
      </c>
      <c r="K11" s="7" t="inlineStr">
        <is>
          <t>Open</t>
        </is>
      </c>
      <c r="L11" s="8" t="inlineStr">
        <is>
          <t>P1</t>
        </is>
      </c>
    </row>
    <row r="12" ht="80" customHeight="1">
      <c r="A12" s="8" t="n">
        <v>9</v>
      </c>
      <c r="B12" s="9" t="inlineStr">
        <is>
          <t>Environmental</t>
        </is>
      </c>
      <c r="C12" s="9" t="inlineStr">
        <is>
          <t>Salt Lake City Permit (UTH-0441) Not Transferred to RES — 2.5 Years Pending</t>
        </is>
      </c>
      <c r="D12" s="10" t="inlineStr">
        <is>
          <t>HIGH</t>
        </is>
      </c>
      <c r="E12" s="9" t="inlineStr">
        <is>
          <t>Environmental Permit Schedule §2.2; Real Property Lease Schedule §4.1; Litigation &amp; Regulatory Summary §III.C</t>
        </is>
      </c>
      <c r="F12" s="9" t="inlineStr">
        <is>
          <t>The SLC transfer station (2100 W North Temple) operates under Pinnacle Waste Solutions, LLC's permit UTH-0441. RES submitted a transfer application in 2022 but it remains pending after 2.5 years. The facility serves ~$16.2M of annual revenue (12.7% of total). Operating under a permit held by a dormant subsidiary creates regulatory risk; Utah Admin Code R315-3 requires Division approval for ownership changes. The proposed Sycamore acquisition adds another layer of change-of-control complexity.</t>
        </is>
      </c>
      <c r="G12" s="9" t="inlineStr">
        <is>
          <t>$16.2M revenue at risk if permit is challenged or revoked</t>
        </is>
      </c>
      <c r="H12" s="9" t="inlineStr">
        <is>
          <t>Reasonably Possible</t>
        </is>
      </c>
      <c r="I12" s="9" t="inlineStr">
        <is>
          <t>Engage Utah DEQ directly to expedite transfer; obtain written confirmation of compliance status; do not close until transfer is complete or DEQ provides comfort letter.</t>
        </is>
      </c>
      <c r="J12" s="9" t="inlineStr">
        <is>
          <t>Condition closing on permit transfer completion or obtain regulatory comfort letter; specific indemnification for permit-related losses.</t>
        </is>
      </c>
      <c r="K12" s="7" t="inlineStr">
        <is>
          <t>Open</t>
        </is>
      </c>
      <c r="L12" s="8" t="inlineStr">
        <is>
          <t>P1</t>
        </is>
      </c>
    </row>
    <row r="13" ht="80" customHeight="1">
      <c r="A13" s="11" t="n">
        <v>10</v>
      </c>
      <c r="B13" s="12" t="inlineStr">
        <is>
          <t>Environmental</t>
        </is>
      </c>
      <c r="C13" s="12" t="inlineStr">
        <is>
          <t>Wyoming Casper Permit Expired (WY-HW-2019-033); Operating Under Timely Renewal</t>
        </is>
      </c>
      <c r="D13" s="13" t="inlineStr">
        <is>
          <t>MEDIUM</t>
        </is>
      </c>
      <c r="E13" s="12" t="inlineStr">
        <is>
          <t>Environmental Permit Schedule §2.4; Real Property Lease Schedule §4.3</t>
        </is>
      </c>
      <c r="F13" s="12" t="inlineStr">
        <is>
          <t>The Casper facility's Wyoming DEQ hazardous waste permit expired November 30, 2024. A renewal application was filed October 15, 2024 (timely). The facility is operating under Wyoming's timely renewal provisions. While timely renewal is legally permissible, an expired permit creates uncertainty and could be cited as a default under the credit agreement (which requires maintenance of all material permits). The renewal is expected Q1 2025 but is not guaranteed.</t>
        </is>
      </c>
      <c r="G13" s="12" t="inlineStr">
        <is>
          <t>Operational disruption risk; potential credit agreement default trigger</t>
        </is>
      </c>
      <c r="H13" s="12" t="inlineStr">
        <is>
          <t>Reasonably Possible</t>
        </is>
      </c>
      <c r="I13" s="12" t="inlineStr">
        <is>
          <t>Obtain written confirmation from Wyoming DEQ of timely renewal status; monitor renewal progress; include permit renewal as closing condition.</t>
        </is>
      </c>
      <c r="J13" s="12" t="inlineStr">
        <is>
          <t>Rep and warranty on permit status; covenant to maintain permits through closing.</t>
        </is>
      </c>
      <c r="K13" s="7" t="inlineStr">
        <is>
          <t>Open</t>
        </is>
      </c>
      <c r="L13" s="11" t="inlineStr">
        <is>
          <t>P2</t>
        </is>
      </c>
    </row>
    <row r="14" ht="80" customHeight="1">
      <c r="A14" s="11" t="n">
        <v>11</v>
      </c>
      <c r="B14" s="12" t="inlineStr">
        <is>
          <t>Environmental</t>
        </is>
      </c>
      <c r="C14" s="12" t="inlineStr">
        <is>
          <t>Asbestos Long-Tail Liability — Pre-2015 Coverage Gap</t>
        </is>
      </c>
      <c r="D14" s="13" t="inlineStr">
        <is>
          <t>MEDIUM</t>
        </is>
      </c>
      <c r="E14" s="12" t="inlineStr">
        <is>
          <t>Litigation &amp; Regulatory Summary §VI.B; Insurance Program Summary §2 (CGL asbestos exclusion); Service Line Detail tab</t>
        </is>
      </c>
      <c r="F14" s="12" t="inlineStr">
        <is>
          <t>RES operated asbestos abatement from 2012–2023 across ~145 sites in CO, UT, WY, MT. The current pollution liability policy has a retroactive date of January 1, 2015 — leaving 2012–2014 operations uninsured. The CGL policy has a blanket asbestos exclusion. No tail coverage has been procured. Two open workers' comp claims from former asbestos employees are noted. Long-tail asbestos personal injury claims can emerge decades after exposure.</t>
        </is>
      </c>
      <c r="G14" s="12" t="inlineStr">
        <is>
          <t>Unquantifiable; potentially material given 145 sites and 11-year operating history</t>
        </is>
      </c>
      <c r="H14" s="12" t="inlineStr">
        <is>
          <t>Remote (per management) but structurally uninsured</t>
        </is>
      </c>
      <c r="I14" s="12" t="inlineStr">
        <is>
          <t>Engage asbestos liability specialist; review all project records; evaluate need for tail policy or captive reserve.</t>
        </is>
      </c>
      <c r="J14" s="12" t="inlineStr">
        <is>
          <t>Extended survival period (10+ years) for asbestos reps; specific indemnification; consider separate escrow.</t>
        </is>
      </c>
      <c r="K14" s="7" t="inlineStr">
        <is>
          <t>Open</t>
        </is>
      </c>
      <c r="L14" s="11" t="inlineStr">
        <is>
          <t>P2</t>
        </is>
      </c>
    </row>
    <row r="15" ht="80" customHeight="1">
      <c r="A15" s="4" t="n">
        <v>12</v>
      </c>
      <c r="B15" s="5" t="inlineStr">
        <is>
          <t>Regulatory / Permits</t>
        </is>
      </c>
      <c r="C15" s="5" t="inlineStr">
        <is>
          <t>DOE IDIQ Ceiling Near Exhaustion — $12.1M+ FY2025 Revenue Headwind</t>
        </is>
      </c>
      <c r="D15" s="6" t="inlineStr">
        <is>
          <t>CRITICAL</t>
        </is>
      </c>
      <c r="E15" s="5" t="inlineStr">
        <is>
          <t>Customer Contract Summary (DOE IDIQ Utilization Analysis tab); CIM §VIII.A</t>
        </is>
      </c>
      <c r="F15" s="5" t="inlineStr">
        <is>
          <t>DOE Contract DE-EM-0005523 (19.2% of revenue, $24.4M TTM) has only $12.3M of ceiling remaining. At the current run rate of ~$2.03M/month, the ceiling will be exhausted by April–May 2025 — approximately at the target closing date. The contract runs through August 2026 but cannot generate revenue beyond the ceiling. This creates a potential $12.1M+ revenue headwind in FY2025 (9.5% of total revenue). The contract is also non-assignable without Contracting Officer consent per the Anti-Assignment Act and FAR 42.12.</t>
        </is>
      </c>
      <c r="G15" s="5" t="inlineStr">
        <is>
          <t>$12.1M+ FY2025 revenue headwind; at 35% gross margin = ~$4.2M gross profit at risk</t>
        </is>
      </c>
      <c r="H15" s="5" t="inlineStr">
        <is>
          <t>Probable</t>
        </is>
      </c>
      <c r="I15" s="5" t="inlineStr">
        <is>
          <t>Engage DOE Contracting Officer regarding ceiling modification and novation; model FY2025 revenue with and without ceiling increase; adjust valuation.</t>
        </is>
      </c>
      <c r="J15" s="5" t="inlineStr">
        <is>
          <t>Significant downward EV adjustment if ceiling not increased; condition closing on CO notification/novation; revenue ratchet or earnout tied to DOE renewal.</t>
        </is>
      </c>
      <c r="K15" s="7" t="inlineStr">
        <is>
          <t>Open</t>
        </is>
      </c>
      <c r="L15" s="4" t="inlineStr">
        <is>
          <t>P1</t>
        </is>
      </c>
    </row>
    <row r="16" ht="80" customHeight="1">
      <c r="A16" s="8" t="n">
        <v>13</v>
      </c>
      <c r="B16" s="9" t="inlineStr">
        <is>
          <t>Regulatory / Permits</t>
        </is>
      </c>
      <c r="C16" s="9" t="inlineStr">
        <is>
          <t>DOE Contract Non-Assignable; Novation Required</t>
        </is>
      </c>
      <c r="D16" s="10" t="inlineStr">
        <is>
          <t>HIGH</t>
        </is>
      </c>
      <c r="E16" s="9" t="inlineStr">
        <is>
          <t>Customer Contract Summary (DOE IDIQ Utilization tab — Assignment Notice); LOI §7(e)</t>
        </is>
      </c>
      <c r="F16" s="9" t="inlineStr">
        <is>
          <t>The DOE IDIQ contract is subject to the Anti-Assignment Act (41 U.S.C. §6305) and FAR 42.12. While a stock acquisition may not technically constitute an assignment, the contract's Clause H-12 requires written notification to the Contracting Officer within 30 days of any change in ownership exceeding 50%. Failure to notify may be grounds for termination for default. A novation agreement may be required. DOE novation processes can take 6–18 months and are not guaranteed.</t>
        </is>
      </c>
      <c r="G16" s="9" t="inlineStr">
        <is>
          <t>$24.4M revenue at risk if contract is terminated for default</t>
        </is>
      </c>
      <c r="H16" s="9" t="inlineStr">
        <is>
          <t>Reasonably Possible</t>
        </is>
      </c>
      <c r="I16" s="9" t="inlineStr">
        <is>
          <t>Engage DOE CO immediately; file pre-closing notification; initiate novation process; obtain CO comfort letter before closing.</t>
        </is>
      </c>
      <c r="J16" s="9" t="inlineStr">
        <is>
          <t>Condition closing on DOE notification and CO acknowledgment; indemnification for contract loss.</t>
        </is>
      </c>
      <c r="K16" s="7" t="inlineStr">
        <is>
          <t>Open</t>
        </is>
      </c>
      <c r="L16" s="8" t="inlineStr">
        <is>
          <t>P1</t>
        </is>
      </c>
    </row>
    <row r="17" ht="80" customHeight="1">
      <c r="A17" s="4" t="n">
        <v>14</v>
      </c>
      <c r="B17" s="5" t="inlineStr">
        <is>
          <t>Real Property / Leases</t>
        </is>
      </c>
      <c r="C17" s="5" t="inlineStr">
        <is>
          <t>SLC Transfer Station Lease — Dual Consent Failure (Pinnacle→RES Unapproved + Sycamore CoC)</t>
        </is>
      </c>
      <c r="D17" s="6" t="inlineStr">
        <is>
          <t>CRITICAL</t>
        </is>
      </c>
      <c r="E17" s="5" t="inlineStr">
        <is>
          <t>Real Property Lease Schedule §4.1 &amp; §6; Customer Contract Summary (SLC facility note)</t>
        </is>
      </c>
      <c r="F17" s="5" t="inlineStr">
        <is>
          <t>The SLC lease (Wasatch Industrial Properties, LLC) was originally signed by Pinnacle Waste Solutions, LLC. RES requested landlord consent to assignment on April 12, 2022 — consent has NOT been received after 2.5 years. The proposed Sycamore acquisition constitutes a second change-of-control event under Section 14 of the lease. The landlord has already sent a lease compliance inquiry (November 2024) asking about changes in tenant control. The facility serves ~$16.2M of annual revenue and houses the SLC hazardous waste permit (UTH-0441). A landlord default notice or lease termination would simultaneously disrupt operations and trigger permit issues.</t>
        </is>
      </c>
      <c r="G17" s="5" t="inlineStr">
        <is>
          <t>$16.2M annual revenue at risk; lease termination could trigger permit revocation</t>
        </is>
      </c>
      <c r="H17" s="5" t="inlineStr">
        <is>
          <t>Reasonably Possible</t>
        </is>
      </c>
      <c r="I17" s="5" t="inlineStr">
        <is>
          <t>Obtain landlord consent before closing; negotiate lease amendment or new lease directly with RES/Sycamore as tenant; resolve prior assignment default.</t>
        </is>
      </c>
      <c r="J17" s="5" t="inlineStr">
        <is>
          <t>Condition closing on landlord consent; specific indemnification; consider lease renegotiation as part of transaction.</t>
        </is>
      </c>
      <c r="K17" s="7" t="inlineStr">
        <is>
          <t>Open</t>
        </is>
      </c>
      <c r="L17" s="4" t="inlineStr">
        <is>
          <t>P1</t>
        </is>
      </c>
    </row>
    <row r="18" ht="80" customHeight="1">
      <c r="A18" s="11" t="n">
        <v>15</v>
      </c>
      <c r="B18" s="12" t="inlineStr">
        <is>
          <t>Real Property / Leases</t>
        </is>
      </c>
      <c r="C18" s="12" t="inlineStr">
        <is>
          <t>Pueblo Storage Yard Lease Expires April 30, 2025 (At Closing)</t>
        </is>
      </c>
      <c r="D18" s="13" t="inlineStr">
        <is>
          <t>MEDIUM</t>
        </is>
      </c>
      <c r="E18" s="12" t="inlineStr">
        <is>
          <t>Real Property Lease Schedule §4.4 &amp; §5</t>
        </is>
      </c>
      <c r="F18" s="12" t="inlineStr">
        <is>
          <t>The Pueblo, CO equipment storage yard lease expires April 30, 2025 — the same month as the target closing date. Renewal negotiations are underway but no terms have been agreed. If the lease is not renewed, equipment and vehicles stored at Pueblo must be relocated, incurring costs and potential operational disruption.</t>
        </is>
      </c>
      <c r="G18" s="12" t="inlineStr">
        <is>
          <t>Relocation costs; operational disruption; modest financial impact</t>
        </is>
      </c>
      <c r="H18" s="12" t="inlineStr">
        <is>
          <t>Reasonably Possible</t>
        </is>
      </c>
      <c r="I18" s="12" t="inlineStr">
        <is>
          <t>Require lease renewal or alternative storage arrangement as closing condition; obtain landlord confirmation of renewal terms.</t>
        </is>
      </c>
      <c r="J18" s="12" t="inlineStr">
        <is>
          <t>Covenant to renew or replace Pueblo lease before closing.</t>
        </is>
      </c>
      <c r="K18" s="7" t="inlineStr">
        <is>
          <t>Open</t>
        </is>
      </c>
      <c r="L18" s="11" t="inlineStr">
        <is>
          <t>P3</t>
        </is>
      </c>
    </row>
    <row r="19" ht="80" customHeight="1">
      <c r="A19" s="14" t="n">
        <v>16</v>
      </c>
      <c r="B19" s="15" t="inlineStr">
        <is>
          <t>Real Property / Leases</t>
        </is>
      </c>
      <c r="C19" s="15" t="inlineStr">
        <is>
          <t>Grand Junction Property Appraisal Stale (March 2022); Mortgage Lien</t>
        </is>
      </c>
      <c r="D19" s="16" t="inlineStr">
        <is>
          <t>LOW</t>
        </is>
      </c>
      <c r="E19" s="15" t="inlineStr">
        <is>
          <t>Real Property Lease Schedule §2.1; Credit Agreement Summary §3</t>
        </is>
      </c>
      <c r="F19" s="15" t="inlineStr">
        <is>
          <t>The Grand Junction HQ (12.4 acres, owned) was last appraised at $6.8M in March 2022 — nearly 3 years ago. The property is subject to a first-priority mortgage lien securing the $38.7M credit facility. Given the environmental contamination on-site, the true market value may be materially lower than the 2022 appraisal. An updated appraisal reflecting current environmental conditions is needed.</t>
        </is>
      </c>
      <c r="G19" s="15" t="inlineStr">
        <is>
          <t>Potential overstatement of asset value; lien must be released at closing</t>
        </is>
      </c>
      <c r="H19" s="15" t="inlineStr">
        <is>
          <t>Reasonably Possible</t>
        </is>
      </c>
      <c r="I19" s="15" t="inlineStr">
        <is>
          <t>Commission updated appraisal; confirm lien release mechanics with High Plains National Bank.</t>
        </is>
      </c>
      <c r="J19" s="15" t="inlineStr">
        <is>
          <t>Ensure lien release is a closing condition; adjust net asset value in purchase price model.</t>
        </is>
      </c>
      <c r="K19" s="7" t="inlineStr">
        <is>
          <t>Open</t>
        </is>
      </c>
      <c r="L19" s="14" t="inlineStr">
        <is>
          <t>P3</t>
        </is>
      </c>
    </row>
    <row r="20" ht="80" customHeight="1">
      <c r="A20" s="8" t="n">
        <v>17</v>
      </c>
      <c r="B20" s="9" t="inlineStr">
        <is>
          <t>Customer / Contract</t>
        </is>
      </c>
      <c r="C20" s="9" t="inlineStr">
        <is>
          <t>Customer Concentration: Top 2 = 30.6%; Top 5 = 50.4% of Revenue</t>
        </is>
      </c>
      <c r="D20" s="10" t="inlineStr">
        <is>
          <t>HIGH</t>
        </is>
      </c>
      <c r="E20" s="9" t="inlineStr">
        <is>
          <t>Customer Contract Summary (Customer Concentration Summary tab); CIM §VI.D</t>
        </is>
      </c>
      <c r="F20" s="9" t="inlineStr">
        <is>
          <t>DOE (19.2%) and Consolidated Mining (11.4%) together represent 30.6% of TTM revenue. Top 5 customers = 50.4%. The DOE relationship faces ceiling exhaustion risk (see Flag #12). Consolidated Mining's MSA has a 60-day termination for convenience clause with no minimum volume commitments. 8 of the top 20 contracts contain assignment, change-of-control, or notification provisions. 12 of the top 20 contracts have termination for convenience clauses with ≤60 days notice.</t>
        </is>
      </c>
      <c r="G20" s="9" t="inlineStr">
        <is>
          <t>Loss of DOE + CMMC = $38.9M revenue (30.6% of total)</t>
        </is>
      </c>
      <c r="H20" s="9" t="inlineStr">
        <is>
          <t>Reasonably Possible</t>
        </is>
      </c>
      <c r="I20" s="9" t="inlineStr">
        <is>
          <t>Conduct customer reference calls; verify CMMC relationship health; model revenue scenarios without top 2 customers.</t>
        </is>
      </c>
      <c r="J20" s="9" t="inlineStr">
        <is>
          <t>Revenue ratchet or earnout tied to customer retention; rep and warranty on contract status.</t>
        </is>
      </c>
      <c r="K20" s="7" t="inlineStr">
        <is>
          <t>Open</t>
        </is>
      </c>
      <c r="L20" s="8" t="inlineStr">
        <is>
          <t>P2</t>
        </is>
      </c>
    </row>
    <row r="21" ht="80" customHeight="1">
      <c r="A21" s="11" t="n">
        <v>18</v>
      </c>
      <c r="B21" s="12" t="inlineStr">
        <is>
          <t>Customer / Contract</t>
        </is>
      </c>
      <c r="C21" s="12" t="inlineStr">
        <is>
          <t>Intermountain Health Systems Contract Renewal Decision Due Feb 2025</t>
        </is>
      </c>
      <c r="D21" s="13" t="inlineStr">
        <is>
          <t>MEDIUM</t>
        </is>
      </c>
      <c r="E21" s="12" t="inlineStr">
        <is>
          <t>Customer Contract Summary (Top 20 Customers tab — Rank 5)</t>
        </is>
      </c>
      <c r="F21" s="12" t="inlineStr">
        <is>
          <t>Intermountain Health Systems ($7.1M, 5.6% of revenue) has a fixed-price agreement expiring June 30, 2025. The 2-year renewal option must be exercised with 120-day notice — meaning the decision is due by approximately February 28, 2025, which coincides with the LOI target signing date. The contract requires prior written consent for assignment. Non-renewal would represent a $7.1M revenue loss.</t>
        </is>
      </c>
      <c r="G21" s="12" t="inlineStr">
        <is>
          <t>$7.1M revenue at risk</t>
        </is>
      </c>
      <c r="H21" s="12" t="inlineStr">
        <is>
          <t>Reasonably Possible</t>
        </is>
      </c>
      <c r="I21" s="12" t="inlineStr">
        <is>
          <t>Obtain customer reference; confirm renewal intent before signing; require renewal as closing condition or price adjustment.</t>
        </is>
      </c>
      <c r="J21" s="12" t="inlineStr">
        <is>
          <t>Rep and warranty on contract renewal; revenue ratchet if contract not renewed.</t>
        </is>
      </c>
      <c r="K21" s="7" t="inlineStr">
        <is>
          <t>Open</t>
        </is>
      </c>
      <c r="L21" s="11" t="inlineStr">
        <is>
          <t>P2</t>
        </is>
      </c>
    </row>
    <row r="22" ht="80" customHeight="1">
      <c r="A22" s="8" t="n">
        <v>19</v>
      </c>
      <c r="B22" s="9" t="inlineStr">
        <is>
          <t>Debt / Credit Agreement</t>
        </is>
      </c>
      <c r="C22" s="9" t="inlineStr">
        <is>
          <t>Change-of-Control Triggers Mandatory Prepayment + Prepayment Premium</t>
        </is>
      </c>
      <c r="D22" s="10" t="inlineStr">
        <is>
          <t>HIGH</t>
        </is>
      </c>
      <c r="E22" s="9" t="inlineStr">
        <is>
          <t>Credit Agreement Summary §8 &amp; §9</t>
        </is>
      </c>
      <c r="F22" s="9" t="inlineStr">
        <is>
          <t>The High Plains National Bank credit agreement defines Change of Control to include acquisition of ≥50% of equity. The proposed 100% stock acquisition triggers mandatory prepayment of all $38.7M in outstanding debt within 5 business days. A 1.00% prepayment premium applies to the $26.3M term loan (assuming closing in Year 3 period) = ~$263K premium. The credit agreement has no consent/waiver mechanism — prepayment is the only option. The revolving commitment is permanently terminated upon Change of Control.</t>
        </is>
      </c>
      <c r="G22" s="9" t="inlineStr">
        <is>
          <t>$38.7M mandatory prepayment + ~$263K premium + accrued interest; total ~$39.2M</t>
        </is>
      </c>
      <c r="H22" s="9" t="inlineStr">
        <is>
          <t>Certain</t>
        </is>
      </c>
      <c r="I22" s="9" t="inlineStr">
        <is>
          <t>Arrange acquisition financing to cover full debt payoff at closing; obtain payoff letter from High Plains National Bank.</t>
        </is>
      </c>
      <c r="J22" s="9" t="inlineStr">
        <is>
          <t>Net Debt adjustment in purchase price; payoff letter as closing condition; arrange replacement credit facility.</t>
        </is>
      </c>
      <c r="K22" s="7" t="inlineStr">
        <is>
          <t>Open</t>
        </is>
      </c>
      <c r="L22" s="8" t="inlineStr">
        <is>
          <t>P1</t>
        </is>
      </c>
    </row>
    <row r="23" ht="80" customHeight="1">
      <c r="A23" s="11" t="n">
        <v>20</v>
      </c>
      <c r="B23" s="12" t="inlineStr">
        <is>
          <t>Debt / Credit Agreement</t>
        </is>
      </c>
      <c r="C23" s="12" t="inlineStr">
        <is>
          <t>Bank EBITDA Definition Excludes $5.4M of Management Add-Backs; Leverage 2.10x (Bank) vs. 1.70x (Mgmt)</t>
        </is>
      </c>
      <c r="D23" s="13" t="inlineStr">
        <is>
          <t>MEDIUM</t>
        </is>
      </c>
      <c r="E23" s="12" t="inlineStr">
        <is>
          <t>Credit Agreement Summary §4 &amp; §5</t>
        </is>
      </c>
      <c r="F23" s="12" t="inlineStr">
        <is>
          <t>The bank's Consolidated EBITDA definition caps non-recurring add-backs at $500K/year. Management's $5.4M in add-backs are largely excluded under the bank definition, yielding bank EBITDA of ~$18.4M. Leverage ratio = 2.10x (bank) vs. 1.70x (management). While within the 3.50x covenant, the gap highlights the aggressive nature of management's adjustments. The bank definition is the relevant benchmark for any acquisition financing.</t>
        </is>
      </c>
      <c r="G23" s="12" t="inlineStr">
        <is>
          <t>Leverage 2.10x (bank) vs. 1.70x (management); covenant headroom 1.40x</t>
        </is>
      </c>
      <c r="H23" s="12" t="inlineStr">
        <is>
          <t>Certain (factual)</t>
        </is>
      </c>
      <c r="I23" s="12" t="inlineStr">
        <is>
          <t>Use bank EBITDA definition for acquisition financing underwriting; stress-test covenant compliance post-closing.</t>
        </is>
      </c>
      <c r="J23" s="12" t="inlineStr">
        <is>
          <t>Acquisition financing must be sized using bank-definition EBITDA; confirm covenant compliance post-closing.</t>
        </is>
      </c>
      <c r="K23" s="7" t="inlineStr">
        <is>
          <t>Open</t>
        </is>
      </c>
      <c r="L23" s="11" t="inlineStr">
        <is>
          <t>P2</t>
        </is>
      </c>
    </row>
    <row r="24" ht="80" customHeight="1">
      <c r="A24" s="8" t="n">
        <v>21</v>
      </c>
      <c r="B24" s="9" t="inlineStr">
        <is>
          <t>Litigation</t>
        </is>
      </c>
      <c r="C24" s="9" t="inlineStr">
        <is>
          <t>Ramirez Personal Injury Claim ($4.8M Sought); Insurance Coverage Uncertain</t>
        </is>
      </c>
      <c r="D24" s="10" t="inlineStr">
        <is>
          <t>HIGH</t>
        </is>
      </c>
      <c r="E24" s="9" t="inlineStr">
        <is>
          <t>Litigation &amp; Regulatory Summary §II.B; Insurance Program Summary §7</t>
        </is>
      </c>
      <c r="F24" s="9" t="inlineStr">
        <is>
          <t>Miguel Ramirez (former field tech) filed suit August 2024 alleging VOC/heavy metal exposure at Sheridan, WY site. Claims: negligence, negligence per se (OSHA violations), strict liability. Seeks $4.8M including punitive damages. Insurer (Frontier Specialty) issued a reservation of rights letter September 19, 2024 — coverage determination pending. If coverage is denied, RES bears the full exposure. Trial date: February 2026. No accrual recorded as of 9/30/2024.</t>
        </is>
      </c>
      <c r="G24" s="9" t="inlineStr">
        <is>
          <t>$500K–$1.5M management estimate; up to $4.8M if punitive damages awarded; uninsured if coverage denied</t>
        </is>
      </c>
      <c r="H24" s="9" t="inlineStr">
        <is>
          <t>Reasonably Possible</t>
        </is>
      </c>
      <c r="I24" s="9" t="inlineStr">
        <is>
          <t>Obtain full case file and coverage analysis; engage independent coverage counsel; require accrual or escrow.</t>
        </is>
      </c>
      <c r="J24" s="9" t="inlineStr">
        <is>
          <t>Specific indemnification; reserve in escrow; extended survival period for personal injury claims.</t>
        </is>
      </c>
      <c r="K24" s="7" t="inlineStr">
        <is>
          <t>Open</t>
        </is>
      </c>
      <c r="L24" s="8" t="inlineStr">
        <is>
          <t>P2</t>
        </is>
      </c>
    </row>
    <row r="25" ht="80" customHeight="1">
      <c r="A25" s="11" t="n">
        <v>22</v>
      </c>
      <c r="B25" s="12" t="inlineStr">
        <is>
          <t>Litigation</t>
        </is>
      </c>
      <c r="C25" s="12" t="inlineStr">
        <is>
          <t>OSHA Recordkeeping Violations — Potential Safety Culture Signal</t>
        </is>
      </c>
      <c r="D25" s="13" t="inlineStr">
        <is>
          <t>MEDIUM</t>
        </is>
      </c>
      <c r="E25" s="12" t="inlineStr">
        <is>
          <t>Litigation &amp; Regulatory Summary §III.B; Employee Benefits Summary §6</t>
        </is>
      </c>
      <c r="F25" s="12" t="inlineStr">
        <is>
          <t>OSHA Region VIII cited RES in March 2024 for failure to timely record 3 injuries on OSHA Form 300 logs at Grand Junction and Casper. Penalties of $4,580 paid June 2024. While the financial impact is immaterial, the failure to record injuries raises questions about the accuracy of the Company's reported TRIR of 2.8 and the reliability of its safety metrics. The Ramirez lawsuit also alleges OSHA violations at a Wyoming site.</t>
        </is>
      </c>
      <c r="G25" s="12" t="inlineStr">
        <is>
          <t>$4,580 paid; reputational and safety culture risk</t>
        </is>
      </c>
      <c r="H25" s="12" t="inlineStr">
        <is>
          <t>Certain (resolved)</t>
        </is>
      </c>
      <c r="I25" s="12" t="inlineStr">
        <is>
          <t>Review all OSHA 300 logs for completeness; verify TRIR calculation methodology; assess safety culture.</t>
        </is>
      </c>
      <c r="J25" s="12" t="inlineStr">
        <is>
          <t>Rep and warranty on OSHA compliance; safety audit as closing condition.</t>
        </is>
      </c>
      <c r="K25" s="7" t="inlineStr">
        <is>
          <t>Open</t>
        </is>
      </c>
      <c r="L25" s="11" t="inlineStr">
        <is>
          <t>P3</t>
        </is>
      </c>
    </row>
    <row r="26" ht="80" customHeight="1">
      <c r="A26" s="14" t="n">
        <v>23</v>
      </c>
      <c r="B26" s="15" t="inlineStr">
        <is>
          <t>Litigation</t>
        </is>
      </c>
      <c r="C26" s="15" t="inlineStr">
        <is>
          <t>Former Employee Wage Claim (FLSA/COMPS) — $330K Threatened</t>
        </is>
      </c>
      <c r="D26" s="16" t="inlineStr">
        <is>
          <t>LOW</t>
        </is>
      </c>
      <c r="E26" s="15" t="inlineStr">
        <is>
          <t>Litigation &amp; Regulatory Summary §V.A</t>
        </is>
      </c>
      <c r="F26" s="15" t="inlineStr">
        <is>
          <t>8 former asbestos abatement employees sent a demand letter in October 2024 alleging unpaid overtime ($165K + $165K liquidated damages = $330K). No lawsuit filed yet. Company believes motor carrier exemption applies to some claimants. No accrual recorded.</t>
        </is>
      </c>
      <c r="G26" s="15" t="inlineStr">
        <is>
          <t>$100K–$330K</t>
        </is>
      </c>
      <c r="H26" s="15" t="inlineStr">
        <is>
          <t>Reasonably Possible</t>
        </is>
      </c>
      <c r="I26" s="15" t="inlineStr">
        <is>
          <t>Obtain employment counsel analysis; review time records for affected employees; consider pre-closing settlement.</t>
        </is>
      </c>
      <c r="J26" s="15" t="inlineStr">
        <is>
          <t>Indemnification basket covers; confirm in disclosure schedules.</t>
        </is>
      </c>
      <c r="K26" s="7" t="inlineStr">
        <is>
          <t>Open</t>
        </is>
      </c>
      <c r="L26" s="14" t="inlineStr">
        <is>
          <t>P3</t>
        </is>
      </c>
    </row>
    <row r="27" ht="80" customHeight="1">
      <c r="A27" s="8" t="n">
        <v>24</v>
      </c>
      <c r="B27" s="9" t="inlineStr">
        <is>
          <t>Human Capital</t>
        </is>
      </c>
      <c r="C27" s="9" t="inlineStr">
        <is>
          <t>NLRB Unionization Petition Filed — 62 Field Technicians (Teamsters Local 455)</t>
        </is>
      </c>
      <c r="D27" s="10" t="inlineStr">
        <is>
          <t>HIGH</t>
        </is>
      </c>
      <c r="E27" s="9" t="inlineStr">
        <is>
          <t>Employee Benefits Summary §7 (footnote 1)</t>
        </is>
      </c>
      <c r="F27" s="9" t="inlineStr">
        <is>
          <t>An NLRB election petition was filed November 4, 2024 by the International Brotherhood of Teamsters Local 455 covering 62 field technicians at Grand Junction and Casper — the two largest facilities. This was disclosed only in a footnote to the benefits summary, not in the CIM or LOI. If the union wins an election, collective bargaining could increase labor costs, reduce operational flexibility, and complicate the post-closing integration. The petition was filed just weeks before the data room opened.</t>
        </is>
      </c>
      <c r="G27" s="9" t="inlineStr">
        <is>
          <t>Potential labor cost increases; operational disruption; integration complexity</t>
        </is>
      </c>
      <c r="H27" s="9" t="inlineStr">
        <is>
          <t>Reasonably Possible</t>
        </is>
      </c>
      <c r="I27" s="9" t="inlineStr">
        <is>
          <t>Obtain full NLRB petition details; assess election timeline; evaluate labor relations strategy; engage labor counsel.</t>
        </is>
      </c>
      <c r="J27" s="9" t="inlineStr">
        <is>
          <t>Rep and warranty on labor relations; covenant to notify buyer of NLRB developments; potential price adjustment.</t>
        </is>
      </c>
      <c r="K27" s="7" t="inlineStr">
        <is>
          <t>Open</t>
        </is>
      </c>
      <c r="L27" s="8" t="inlineStr">
        <is>
          <t>P1</t>
        </is>
      </c>
    </row>
    <row r="28" ht="80" customHeight="1">
      <c r="A28" s="8" t="n">
        <v>25</v>
      </c>
      <c r="B28" s="9" t="inlineStr">
        <is>
          <t>Human Capital</t>
        </is>
      </c>
      <c r="C28" s="9" t="inlineStr">
        <is>
          <t>Single-Trigger CoC Severance for CEO &amp; COO — $2.625M Payable at Closing</t>
        </is>
      </c>
      <c r="D28" s="10" t="inlineStr">
        <is>
          <t>HIGH</t>
        </is>
      </c>
      <c r="E28" s="9" t="inlineStr">
        <is>
          <t>Employment Agreements Summary §3, §4, §8; QoE Executive Compensation tab</t>
        </is>
      </c>
      <c r="F28" s="9" t="inlineStr">
        <is>
          <t>Derek and Jason Calloway each have single-trigger change-of-control severance of $1.3125M (18 months base salary), payable within 30 days of closing regardless of post-closing employment status. Total: $2.625M. The LOI and purchase price mechanism do not address whether these payments are Transaction Expenses (seller-borne) or buyer-borne costs. Additionally, the CIM states bonus target is 25% of base, but employment agreements show 50% — a material inconsistency.</t>
        </is>
      </c>
      <c r="G28" s="9" t="inlineStr">
        <is>
          <t>$2.625M certain cash obligation at closing; classification unresolved</t>
        </is>
      </c>
      <c r="H28" s="9" t="inlineStr">
        <is>
          <t>Certain</t>
        </is>
      </c>
      <c r="I28" s="9" t="inlineStr">
        <is>
          <t>Negotiate treatment of CoC severance in SPA; confirm classification as Transaction Expense; verify bonus target discrepancy.</t>
        </is>
      </c>
      <c r="J28" s="9" t="inlineStr">
        <is>
          <t>Deduct from purchase price as Transaction Expense or require sellers to fund from proceeds.</t>
        </is>
      </c>
      <c r="K28" s="7" t="inlineStr">
        <is>
          <t>Open</t>
        </is>
      </c>
      <c r="L28" s="8" t="inlineStr">
        <is>
          <t>P1</t>
        </is>
      </c>
    </row>
    <row r="29" ht="80" customHeight="1">
      <c r="A29" s="8" t="n">
        <v>26</v>
      </c>
      <c r="B29" s="9" t="inlineStr">
        <is>
          <t>Human Capital</t>
        </is>
      </c>
      <c r="C29" s="9" t="inlineStr">
        <is>
          <t>Key Person Risk — Founders Control Operations, Regulatory Relationships, and DOE Contract</t>
        </is>
      </c>
      <c r="D29" s="10" t="inlineStr">
        <is>
          <t>HIGH</t>
        </is>
      </c>
      <c r="E29" s="9" t="inlineStr">
        <is>
          <t>CIM §III (Management Team); Employment Agreements Summary; Credit Agreement §7 (Change of Management covenant)</t>
        </is>
      </c>
      <c r="F29" s="9" t="inlineStr">
        <is>
          <t>Derek Calloway is the primary DOE relationship manager and regulatory affairs lead. Jason Calloway manages all field operations across 11 facilities. The credit agreement requires Derek Calloway to remain as CEO or a lender-approved successor must be named within 90 days. Both founders receive single-trigger severance, meaning they could depart immediately after closing with full payment. The non-compete covers 5 states for 2 years but enforceability varies by state.</t>
        </is>
      </c>
      <c r="G29" s="9" t="inlineStr">
        <is>
          <t>Loss of DOE contract ($24.4M); operational disruption; credit agreement default</t>
        </is>
      </c>
      <c r="H29" s="9" t="inlineStr">
        <is>
          <t>Reasonably Possible</t>
        </is>
      </c>
      <c r="I29" s="9" t="inlineStr">
        <is>
          <t>Negotiate robust retention agreements with meaningful post-closing incentives; evaluate non-compete enforceability; require founders to remain through transition.</t>
        </is>
      </c>
      <c r="J29" s="9" t="inlineStr">
        <is>
          <t>Retention agreements as closing condition; earnout tied to founder retention; non-compete review by state-specific counsel.</t>
        </is>
      </c>
      <c r="K29" s="7" t="inlineStr">
        <is>
          <t>Open</t>
        </is>
      </c>
      <c r="L29" s="8" t="inlineStr">
        <is>
          <t>P1</t>
        </is>
      </c>
    </row>
    <row r="30" ht="80" customHeight="1">
      <c r="A30" s="14" t="n">
        <v>27</v>
      </c>
      <c r="B30" s="15" t="inlineStr">
        <is>
          <t>Human Capital</t>
        </is>
      </c>
      <c r="C30" s="15" t="inlineStr">
        <is>
          <t>401(k) Match Suspended Jan–Jun 2023 — Potential ERISA Compliance Issue</t>
        </is>
      </c>
      <c r="D30" s="16" t="inlineStr">
        <is>
          <t>LOW</t>
        </is>
      </c>
      <c r="E30" s="15" t="inlineStr">
        <is>
          <t>Employee Benefits Summary §4.2</t>
        </is>
      </c>
      <c r="F30" s="15" t="inlineStr">
        <is>
          <t>The Company suspended its safe harbor 401(k) employer match from January 1 to June 30, 2023 due to 'operational cash flow management.' Suspending a safe harbor match mid-year without proper notice to participants may violate ERISA safe harbor requirements and could result in the plan losing its safe harbor status for the 2023 plan year, triggering ADP/ACP testing requirements and potential corrective contributions.</t>
        </is>
      </c>
      <c r="G30" s="15" t="inlineStr">
        <is>
          <t>Potential ERISA correction costs; plan disqualification risk</t>
        </is>
      </c>
      <c r="H30" s="15" t="inlineStr">
        <is>
          <t>Reasonably Possible</t>
        </is>
      </c>
      <c r="I30" s="15" t="inlineStr">
        <is>
          <t>Engage ERISA counsel to review 2023 plan year compliance; obtain IRS determination if needed; quantify correction costs.</t>
        </is>
      </c>
      <c r="J30" s="15" t="inlineStr">
        <is>
          <t>Rep and warranty on ERISA compliance; indemnification for correction costs.</t>
        </is>
      </c>
      <c r="K30" s="7" t="inlineStr">
        <is>
          <t>Open</t>
        </is>
      </c>
      <c r="L30" s="14" t="inlineStr">
        <is>
          <t>P3</t>
        </is>
      </c>
    </row>
    <row r="31" ht="80" customHeight="1">
      <c r="A31" s="8" t="n">
        <v>28</v>
      </c>
      <c r="B31" s="9" t="inlineStr">
        <is>
          <t>Corporate / Structural</t>
        </is>
      </c>
      <c r="C31" s="9" t="inlineStr">
        <is>
          <t>Financial Statements Reviewed (Not Audited) for FY2024; Audited Statements Required</t>
        </is>
      </c>
      <c r="D31" s="10" t="inlineStr">
        <is>
          <t>HIGH</t>
        </is>
      </c>
      <c r="E31" s="9" t="inlineStr">
        <is>
          <t>QoE Data Request Response (Cover tab); LOI §8(i); CIM §VI.A</t>
        </is>
      </c>
      <c r="F31" s="9" t="inlineStr">
        <is>
          <t>FY2024 (TTM 9/30/2024) financials are reviewed, not audited. The LOI requires delivery of audited financial statements for FY2022, FY2023, and FY2024 as a closing condition. The CIM notes financials are 'reviewed by Hansen &amp; Whitfield, CPAs' — a small Grand Junction firm. Audited statements by a nationally recognized firm are required for acquisition financing. The audit process may surface additional adjustments or restatements.</t>
        </is>
      </c>
      <c r="G31" s="9" t="inlineStr">
        <is>
          <t>Closing condition risk; potential restatement risk</t>
        </is>
      </c>
      <c r="H31" s="9" t="inlineStr">
        <is>
          <t>Probable</t>
        </is>
      </c>
      <c r="I31" s="9" t="inlineStr">
        <is>
          <t>Engage Big 4 or national firm for FY2024 audit immediately; build audit timeline into closing schedule.</t>
        </is>
      </c>
      <c r="J31" s="9" t="inlineStr">
        <is>
          <t>Audited financials as hard closing condition per LOI §8(i); audit findings may trigger price renegotiation.</t>
        </is>
      </c>
      <c r="K31" s="7" t="inlineStr">
        <is>
          <t>Open</t>
        </is>
      </c>
      <c r="L31" s="8" t="inlineStr">
        <is>
          <t>P1</t>
        </is>
      </c>
    </row>
    <row r="32" ht="80" customHeight="1">
      <c r="A32" s="11" t="n">
        <v>29</v>
      </c>
      <c r="B32" s="12" t="inlineStr">
        <is>
          <t>Corporate / Structural</t>
        </is>
      </c>
      <c r="C32" s="12" t="inlineStr">
        <is>
          <t>Pinnacle Waste Solutions LLC — Dormant Entity with Unresolved Permit and Lease Issues</t>
        </is>
      </c>
      <c r="D32" s="13" t="inlineStr">
        <is>
          <t>MEDIUM</t>
        </is>
      </c>
      <c r="E32" s="12" t="inlineStr">
        <is>
          <t>Org Chart &amp; Equity Structure §4; Environmental Permit Schedule §2.2; Real Property Lease Schedule §4.1</t>
        </is>
      </c>
      <c r="F32" s="12" t="inlineStr">
        <is>
          <t>Pinnacle Waste Solutions, LLC has been operationally dormant since Q3 2022 but has not been dissolved. It remains the named permit holder for UTH-0441 (SLC transfer station) and the named tenant on the SLC lease. The entity's continued existence creates structural complexity: it is a guarantor under the credit agreement, and its permits and leases have not been formally transferred to RES. The proposed stock acquisition of RES will include Pinnacle as a subsidiary with these unresolved issues.</t>
        </is>
      </c>
      <c r="G32" s="12" t="inlineStr">
        <is>
          <t>Regulatory and lease risk concentrated in dormant entity</t>
        </is>
      </c>
      <c r="H32" s="12" t="inlineStr">
        <is>
          <t>Reasonably Possible</t>
        </is>
      </c>
      <c r="I32" s="12" t="inlineStr">
        <is>
          <t>Resolve permit transfer and lease assignment before closing; evaluate whether to dissolve Pinnacle post-closing.</t>
        </is>
      </c>
      <c r="J32" s="12" t="inlineStr">
        <is>
          <t>Specific reps on Pinnacle's status; indemnification for Pinnacle-related liabilities.</t>
        </is>
      </c>
      <c r="K32" s="7" t="inlineStr">
        <is>
          <t>Open</t>
        </is>
      </c>
      <c r="L32" s="11" t="inlineStr">
        <is>
          <t>P2</t>
        </is>
      </c>
    </row>
    <row r="33" ht="80" customHeight="1">
      <c r="A33" s="14" t="n">
        <v>30</v>
      </c>
      <c r="B33" s="15" t="inlineStr">
        <is>
          <t>Corporate / Structural</t>
        </is>
      </c>
      <c r="C33" s="15" t="inlineStr">
        <is>
          <t>Calloway Family Trust — Trustee Authority and Irrevocable Trust Constraints</t>
        </is>
      </c>
      <c r="D33" s="16" t="inlineStr">
        <is>
          <t>LOW</t>
        </is>
      </c>
      <c r="E33" s="15" t="inlineStr">
        <is>
          <t>Executed LOI §1 &amp; §7.3; Org Chart &amp; Equity Structure §3.5</t>
        </is>
      </c>
      <c r="F33" s="15" t="inlineStr">
        <is>
          <t>The Calloway Family Trust (35% shareholder) is an irrevocable trust with Linda Calloway as trustee. The LOI notes that the Trust's obligations are 'subject to and limited by the authority of the Trustee.' Irrevocable trust instruments may contain distribution restrictions, consent requirements, or beneficiary approval provisions that could complicate or delay the Trust's ability to execute the SPA and receive sale proceeds. The trust agreement has been provided in the data room but has not been summarized in the available documents.</t>
        </is>
      </c>
      <c r="G33" s="15" t="inlineStr">
        <is>
          <t>Potential closing delay; trust instrument constraints</t>
        </is>
      </c>
      <c r="H33" s="15" t="inlineStr">
        <is>
          <t>Reasonably Possible</t>
        </is>
      </c>
      <c r="I33" s="15" t="inlineStr">
        <is>
          <t>Review trust instrument; confirm trustee authority to sell; obtain independent trustee counsel opinion.</t>
        </is>
      </c>
      <c r="J33" s="15" t="inlineStr">
        <is>
          <t>Trustee authority rep and warranty; obtain trust counsel opinion as closing condition.</t>
        </is>
      </c>
      <c r="K33" s="7" t="inlineStr">
        <is>
          <t>Open</t>
        </is>
      </c>
      <c r="L33" s="14" t="inlineStr">
        <is>
          <t>P3</t>
        </is>
      </c>
    </row>
  </sheetData>
  <autoFilter ref="A3:L33"/>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PROJECT RIDGELINE — RED FLAG SUMMARY DASHBOARD</t>
        </is>
      </c>
    </row>
    <row r="3">
      <c r="A3" s="17" t="inlineStr">
        <is>
          <t>FLAGS BY SEVERITY</t>
        </is>
      </c>
      <c r="D3" s="17" t="inlineStr">
        <is>
          <t>FLAGS BY CATEGORY</t>
        </is>
      </c>
    </row>
    <row r="4" ht="20" customHeight="1">
      <c r="A4" s="18" t="inlineStr">
        <is>
          <t>CRITICAL</t>
        </is>
      </c>
      <c r="B4" s="18" t="n">
        <v>5</v>
      </c>
      <c r="D4" s="19" t="inlineStr">
        <is>
          <t>Corporate / Structural</t>
        </is>
      </c>
      <c r="E4" s="20" t="n">
        <v>3</v>
      </c>
    </row>
    <row r="5" ht="20" customHeight="1">
      <c r="A5" s="21" t="inlineStr">
        <is>
          <t>HIGH</t>
        </is>
      </c>
      <c r="B5" s="21" t="n">
        <v>14</v>
      </c>
      <c r="D5" s="19" t="inlineStr">
        <is>
          <t>Customer / Contract</t>
        </is>
      </c>
      <c r="E5" s="20" t="n">
        <v>2</v>
      </c>
    </row>
    <row r="6" ht="20" customHeight="1">
      <c r="A6" s="22" t="inlineStr">
        <is>
          <t>MEDIUM</t>
        </is>
      </c>
      <c r="B6" s="22" t="n">
        <v>7</v>
      </c>
      <c r="D6" s="19" t="inlineStr">
        <is>
          <t>Debt / Credit Agreement</t>
        </is>
      </c>
      <c r="E6" s="20" t="n">
        <v>2</v>
      </c>
    </row>
    <row r="7" ht="20" customHeight="1">
      <c r="A7" s="23" t="inlineStr">
        <is>
          <t>LOW</t>
        </is>
      </c>
      <c r="B7" s="23" t="n">
        <v>4</v>
      </c>
      <c r="D7" s="19" t="inlineStr">
        <is>
          <t>Environmental</t>
        </is>
      </c>
      <c r="E7" s="20" t="n">
        <v>5</v>
      </c>
    </row>
    <row r="8" ht="20" customHeight="1">
      <c r="A8" s="24" t="inlineStr">
        <is>
          <t>TOTAL</t>
        </is>
      </c>
      <c r="B8" s="24" t="n">
        <v>30</v>
      </c>
      <c r="D8" s="19" t="inlineStr">
        <is>
          <t>Financial / QoE</t>
        </is>
      </c>
      <c r="E8" s="20" t="n">
        <v>6</v>
      </c>
    </row>
    <row r="9" ht="20" customHeight="1">
      <c r="D9" s="19" t="inlineStr">
        <is>
          <t>Human Capital</t>
        </is>
      </c>
      <c r="E9" s="20" t="n">
        <v>4</v>
      </c>
    </row>
    <row r="10" ht="20" customHeight="1">
      <c r="D10" s="19" t="inlineStr">
        <is>
          <t>Litigation</t>
        </is>
      </c>
      <c r="E10" s="20" t="n">
        <v>3</v>
      </c>
    </row>
    <row r="11" ht="20" customHeight="1">
      <c r="A11" s="17" t="inlineStr">
        <is>
          <t>KEY FINANCIAL METRICS</t>
        </is>
      </c>
    </row>
    <row r="12" ht="18" customHeight="1">
      <c r="A12" s="25" t="inlineStr">
        <is>
          <t>Indicative Enterprise Value Range</t>
        </is>
      </c>
      <c r="B12" s="26" t="inlineStr">
        <is>
          <t>$182M – $205M</t>
        </is>
      </c>
    </row>
    <row r="13" ht="18" customHeight="1">
      <c r="A13" s="27" t="inlineStr">
        <is>
          <t>Adjusted EBITDA (CIM)</t>
        </is>
      </c>
      <c r="B13" s="28" t="inlineStr">
        <is>
          <t>$22.8M</t>
        </is>
      </c>
    </row>
    <row r="14" ht="18" customHeight="1">
      <c r="A14" s="25" t="inlineStr">
        <is>
          <t>Adjusted EBITDA (QoE Data Package)</t>
        </is>
      </c>
      <c r="B14" s="26" t="inlineStr">
        <is>
          <t>$23.8M</t>
        </is>
      </c>
    </row>
    <row r="15" ht="18" customHeight="1">
      <c r="A15" s="27" t="inlineStr">
        <is>
          <t>Adjusted EBITDA Discrepancy</t>
        </is>
      </c>
      <c r="B15" s="28" t="inlineStr">
        <is>
          <t>$1.0M (unreconciled)</t>
        </is>
      </c>
    </row>
    <row r="16" ht="18" customHeight="1">
      <c r="A16" s="25" t="inlineStr">
        <is>
          <t>Reported EBITDA (FY2024)</t>
        </is>
      </c>
      <c r="B16" s="26" t="inlineStr">
        <is>
          <t>$18.4M</t>
        </is>
      </c>
    </row>
    <row r="17" ht="18" customHeight="1">
      <c r="A17" s="27" t="inlineStr">
        <is>
          <t>Total Debt (as of 9/30/2024)</t>
        </is>
      </c>
      <c r="B17" s="28" t="inlineStr">
        <is>
          <t>$38.7M</t>
        </is>
      </c>
    </row>
    <row r="18" ht="18" customHeight="1">
      <c r="A18" s="25" t="inlineStr">
        <is>
          <t>Leverage Ratio (Management)</t>
        </is>
      </c>
      <c r="B18" s="26" t="inlineStr">
        <is>
          <t>1.70x</t>
        </is>
      </c>
    </row>
    <row r="19" ht="18" customHeight="1">
      <c r="A19" s="27" t="inlineStr">
        <is>
          <t>Leverage Ratio (Bank Definition)</t>
        </is>
      </c>
      <c r="B19" s="28" t="inlineStr">
        <is>
          <t>2.10x</t>
        </is>
      </c>
    </row>
    <row r="20" ht="18" customHeight="1">
      <c r="A20" s="25" t="inlineStr">
        <is>
          <t>Normalized Maintenance CapEx (Management)</t>
        </is>
      </c>
      <c r="B20" s="26" t="inlineStr">
        <is>
          <t>$4.0M – $4.5M/year</t>
        </is>
      </c>
    </row>
    <row r="21" ht="18" customHeight="1">
      <c r="A21" s="27" t="inlineStr">
        <is>
          <t>Fleet Replacement Backlog</t>
        </is>
      </c>
      <c r="B21" s="28" t="inlineStr">
        <is>
          <t>~$9.8M (44.7% of fleet past useful life)</t>
        </is>
      </c>
    </row>
    <row r="22" ht="18" customHeight="1">
      <c r="A22" s="25" t="inlineStr">
        <is>
          <t>DOE Revenue at Risk (FY2025)</t>
        </is>
      </c>
      <c r="B22" s="26" t="inlineStr">
        <is>
          <t>$12.1M+ (ceiling exhaustion)</t>
        </is>
      </c>
    </row>
    <row r="23" ht="18" customHeight="1">
      <c r="A23" s="27" t="inlineStr">
        <is>
          <t>Total CoC Severance (All Executives)</t>
        </is>
      </c>
      <c r="B23" s="28" t="inlineStr">
        <is>
          <t>$3.775M ($2.625M single-trigger)</t>
        </is>
      </c>
    </row>
    <row r="24" ht="18" customHeight="1">
      <c r="A24" s="25" t="inlineStr">
        <is>
          <t>CDPHE Penalty Exposure</t>
        </is>
      </c>
      <c r="B24" s="26" t="inlineStr">
        <is>
          <t>$200K – $1.16M</t>
        </is>
      </c>
    </row>
    <row r="25" ht="18" customHeight="1">
      <c r="A25" s="27" t="inlineStr">
        <is>
          <t>Grand Junction Remediation Accrual</t>
        </is>
      </c>
      <c r="B25" s="28" t="inlineStr">
        <is>
          <t>$3.2M (2019 estimate; likely understated)</t>
        </is>
      </c>
    </row>
    <row r="26" ht="18" customHeight="1">
      <c r="A26" s="25" t="inlineStr">
        <is>
          <t>Unreserved Contingent Exposure (Litigation)</t>
        </is>
      </c>
      <c r="B26" s="26" t="inlineStr">
        <is>
          <t>$800K – $2.49M</t>
        </is>
      </c>
    </row>
  </sheetData>
  <mergeCells count="19">
    <mergeCell ref="B24:H24"/>
    <mergeCell ref="A11:H11"/>
    <mergeCell ref="A3:C3"/>
    <mergeCell ref="B15:H15"/>
    <mergeCell ref="A1:H1"/>
    <mergeCell ref="B20:H20"/>
    <mergeCell ref="B26:H26"/>
    <mergeCell ref="B16:H16"/>
    <mergeCell ref="B25:H25"/>
    <mergeCell ref="B22:H22"/>
    <mergeCell ref="B18:H18"/>
    <mergeCell ref="B21:H21"/>
    <mergeCell ref="B12:H12"/>
    <mergeCell ref="D3:H3"/>
    <mergeCell ref="B23:H23"/>
    <mergeCell ref="B14:H14"/>
    <mergeCell ref="B17:H17"/>
    <mergeCell ref="B13:H13"/>
    <mergeCell ref="B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36" customWidth="1" min="1" max="1"/>
    <col width="16" customWidth="1" min="2" max="2"/>
    <col width="22" customWidth="1" min="3" max="3"/>
    <col width="18" customWidth="1" min="4" max="4"/>
    <col width="42" customWidth="1" min="5" max="5"/>
    <col width="14" customWidth="1" min="6" max="6"/>
  </cols>
  <sheetData>
    <row r="1" ht="26" customHeight="1">
      <c r="A1" s="29" t="inlineStr">
        <is>
          <t>PROJECT RIDGELINE — EBITDA BRIDGE ANALYSIS &amp; ADD-BACK ASSESSMENT</t>
        </is>
      </c>
    </row>
    <row r="3" ht="28" customHeight="1">
      <c r="A3" s="3" t="inlineStr">
        <is>
          <t>Adjustment Item</t>
        </is>
      </c>
      <c r="B3" s="3" t="inlineStr">
        <is>
          <t>Amount ($000s)</t>
        </is>
      </c>
      <c r="C3" s="3" t="inlineStr">
        <is>
          <t>Management Classification</t>
        </is>
      </c>
      <c r="D3" s="3" t="inlineStr">
        <is>
          <t>Bank EBITDA Eligible?</t>
        </is>
      </c>
      <c r="E3" s="3" t="inlineStr">
        <is>
          <t>Buyer Assessment</t>
        </is>
      </c>
      <c r="F3" s="3" t="inlineStr">
        <is>
          <t>Risk Rating</t>
        </is>
      </c>
    </row>
    <row r="4" ht="20" customHeight="1">
      <c r="A4" s="27" t="inlineStr">
        <is>
          <t>Reported EBITDA (FY2024 TTM)</t>
        </is>
      </c>
      <c r="B4" s="30" t="n">
        <v>18400</v>
      </c>
      <c r="C4" s="27" t="inlineStr">
        <is>
          <t>Starting Point</t>
        </is>
      </c>
      <c r="D4" s="27" t="inlineStr">
        <is>
          <t>N/A</t>
        </is>
      </c>
      <c r="E4" s="27" t="inlineStr">
        <is>
          <t>Confirmed per P&amp;L</t>
        </is>
      </c>
      <c r="F4" s="31" t="inlineStr"/>
    </row>
    <row r="5" ht="20" customHeight="1">
      <c r="A5" s="25" t="inlineStr">
        <is>
          <t>(+) One-Time Litigation Settlement</t>
        </is>
      </c>
      <c r="B5" s="32" t="n">
        <v>1200</v>
      </c>
      <c r="C5" s="25" t="inlineStr">
        <is>
          <t>Non-Recurring</t>
        </is>
      </c>
      <c r="D5" s="25" t="inlineStr">
        <is>
          <t>No (receipt, not cost)</t>
        </is>
      </c>
      <c r="E5" s="25" t="inlineStr">
        <is>
          <t>Misclassified — this is a cash receipt from Clearwater Logistics settlement, not a cost add-back. Inflates EBITDA.</t>
        </is>
      </c>
      <c r="F5" s="33" t="inlineStr">
        <is>
          <t>HIGH</t>
        </is>
      </c>
    </row>
    <row r="6" ht="20" customHeight="1">
      <c r="A6" s="27" t="inlineStr">
        <is>
          <t>(+) Owner Compensation Normalization</t>
        </is>
      </c>
      <c r="B6" s="30" t="n">
        <v>950</v>
      </c>
      <c r="C6" s="27" t="inlineStr">
        <is>
          <t>Run-Rate Normalization</t>
        </is>
      </c>
      <c r="D6" s="27" t="inlineStr">
        <is>
          <t>No (excluded per credit agreement)</t>
        </is>
      </c>
      <c r="E6" s="27" t="inlineStr">
        <is>
          <t>Partially supportable but bonus target discrepancy (CIM: 25% vs. agreement: 50%) requires reconciliation.</t>
        </is>
      </c>
      <c r="F6" s="33" t="inlineStr">
        <is>
          <t>HIGH</t>
        </is>
      </c>
    </row>
    <row r="7" ht="20" customHeight="1">
      <c r="A7" s="25" t="inlineStr">
        <is>
          <t>(+) ERP Implementation Costs</t>
        </is>
      </c>
      <c r="B7" s="32" t="n">
        <v>650</v>
      </c>
      <c r="C7" s="25" t="inlineStr">
        <is>
          <t>Non-Recurring</t>
        </is>
      </c>
      <c r="D7" s="25" t="inlineStr">
        <is>
          <t>No (excluded per credit agreement)</t>
        </is>
      </c>
      <c r="E7" s="25" t="inlineStr">
        <is>
          <t>Phase 2 expected to complete Q2 FY2025 — ongoing costs may continue. Recurrence in FY2023 ($385K) raises concern.</t>
        </is>
      </c>
      <c r="F7" s="34" t="inlineStr">
        <is>
          <t>MEDIUM</t>
        </is>
      </c>
    </row>
    <row r="8" ht="20" customHeight="1">
      <c r="A8" s="27" t="inlineStr">
        <is>
          <t>(+) Acquisition Integration Costs (Pinnacle)</t>
        </is>
      </c>
      <c r="B8" s="30" t="n">
        <v>800</v>
      </c>
      <c r="C8" s="27" t="inlineStr">
        <is>
          <t>Non-Recurring</t>
        </is>
      </c>
      <c r="D8" s="27" t="inlineStr">
        <is>
          <t>No (excluded per credit agreement)</t>
        </is>
      </c>
      <c r="E8" s="27" t="inlineStr">
        <is>
          <t>Integration costs in FY2022 ($1.24M), FY2023 ($620K), FY2024 ($800K) — 3 consecutive years. Likely recurring.</t>
        </is>
      </c>
      <c r="F8" s="33" t="inlineStr">
        <is>
          <t>HIGH</t>
        </is>
      </c>
    </row>
    <row r="9" ht="20" customHeight="1">
      <c r="A9" s="25" t="inlineStr">
        <is>
          <t>(+) Asbestos Wind-Down Costs</t>
        </is>
      </c>
      <c r="B9" s="32" t="n">
        <v>1800</v>
      </c>
      <c r="C9" s="25" t="inlineStr">
        <is>
          <t>Non-Recurring</t>
        </is>
      </c>
      <c r="D9" s="25" t="inlineStr">
        <is>
          <t>No (excluded per credit agreement)</t>
        </is>
      </c>
      <c r="E9" s="25" t="inlineStr">
        <is>
          <t>FY2023 ($920K) + FY2024 ($1.8M) = $2.72M over 2 years. Additional tail costs possible. Two open WC claims.</t>
        </is>
      </c>
      <c r="F9" s="33" t="inlineStr">
        <is>
          <t>HIGH</t>
        </is>
      </c>
    </row>
    <row r="10" ht="20" customHeight="1">
      <c r="A10" s="35">
        <f> Management Adjusted EBITDA (QoE Package)</f>
        <v/>
      </c>
      <c r="B10" s="36" t="n">
        <v>23800</v>
      </c>
      <c r="C10" s="35" t="inlineStr">
        <is>
          <t>Management View</t>
        </is>
      </c>
      <c r="D10" s="35" t="inlineStr">
        <is>
          <t>N/A</t>
        </is>
      </c>
      <c r="E10" s="35" t="inlineStr">
        <is>
          <t>Per QoE data package — $1.0M higher than CIM figure of $22.8M. Discrepancy unreconciled.</t>
        </is>
      </c>
      <c r="F10" s="37" t="inlineStr">
        <is>
          <t>CRITICAL</t>
        </is>
      </c>
    </row>
    <row r="11" ht="20" customHeight="1">
      <c r="A11" s="35">
        <f> Management Adjusted EBITDA (CIM)</f>
        <v/>
      </c>
      <c r="B11" s="36" t="n">
        <v>22800</v>
      </c>
      <c r="C11" s="35" t="inlineStr">
        <is>
          <t>Management View (CIM)</t>
        </is>
      </c>
      <c r="D11" s="35" t="inlineStr">
        <is>
          <t>N/A</t>
        </is>
      </c>
      <c r="E11" s="35" t="inlineStr">
        <is>
          <t>$1.0M lower than QoE package. Specific reconciling item not identified by management.</t>
        </is>
      </c>
      <c r="F11" s="37" t="inlineStr">
        <is>
          <t>CRITICAL</t>
        </is>
      </c>
    </row>
    <row r="12" ht="20" customHeight="1">
      <c r="A12" s="35">
        <f> Bank Consolidated EBITDA</f>
        <v/>
      </c>
      <c r="B12" s="36" t="n">
        <v>18400</v>
      </c>
      <c r="C12" s="35" t="inlineStr">
        <is>
          <t>Bank Definition</t>
        </is>
      </c>
      <c r="D12" s="35" t="inlineStr">
        <is>
          <t>Yes (minimal add-backs)</t>
        </is>
      </c>
      <c r="E12" s="35" t="inlineStr">
        <is>
          <t>Only up to $500K of non-recurring items qualify under credit agreement. Relevant for financing underwriting.</t>
        </is>
      </c>
      <c r="F12" s="31" t="inlineStr"/>
    </row>
    <row r="13" ht="20" customHeight="1">
      <c r="A13" s="38" t="inlineStr">
        <is>
          <t>Buyer Adjusted EBITDA (Conservative)</t>
        </is>
      </c>
      <c r="B13" s="39" t="n">
        <v>19600</v>
      </c>
      <c r="C13" s="38" t="inlineStr">
        <is>
          <t>Buyer Estimate</t>
        </is>
      </c>
      <c r="D13" s="38" t="inlineStr">
        <is>
          <t>N/A</t>
        </is>
      </c>
      <c r="E13" s="38" t="inlineStr">
        <is>
          <t>Removes litigation receipt ($1.2M) and haircuts integration costs ($800K→$400K). Retains comp normalization and ERP.</t>
        </is>
      </c>
      <c r="F13" s="31" t="inlineStr"/>
    </row>
    <row r="14" ht="20" customHeight="1">
      <c r="A14" s="38" t="inlineStr">
        <is>
          <t>Buyer Adjusted EBITDA (Base Case)</t>
        </is>
      </c>
      <c r="B14" s="39" t="n">
        <v>20800</v>
      </c>
      <c r="C14" s="38" t="inlineStr">
        <is>
          <t>Buyer Estimate</t>
        </is>
      </c>
      <c r="D14" s="38" t="inlineStr">
        <is>
          <t>N/A</t>
        </is>
      </c>
      <c r="E14" s="38" t="inlineStr">
        <is>
          <t>Accepts comp normalization and ERP; haircuts integration ($400K) and asbestos ($900K). Excludes litigation receipt.</t>
        </is>
      </c>
      <c r="F14" s="31" t="inlineStr"/>
    </row>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5" customWidth="1" min="1" max="1"/>
    <col width="55" customWidth="1" min="2" max="2"/>
    <col width="20" customWidth="1" min="3" max="3"/>
    <col width="10" customWidth="1" min="4" max="4"/>
    <col width="18" customWidth="1" min="5" max="5"/>
    <col width="14" customWidth="1" min="6" max="6"/>
  </cols>
  <sheetData>
    <row r="1" ht="26" customHeight="1">
      <c r="A1" s="29" t="inlineStr">
        <is>
          <t>PROJECT RIDGELINE — PRIORITY DILIGENCE CHECKLIST</t>
        </is>
      </c>
    </row>
    <row r="3" ht="24" customHeight="1">
      <c r="A3" s="3" t="inlineStr">
        <is>
          <t>#</t>
        </is>
      </c>
      <c r="B3" s="3" t="inlineStr">
        <is>
          <t>Action Item</t>
        </is>
      </c>
      <c r="C3" s="3" t="inlineStr">
        <is>
          <t>Category</t>
        </is>
      </c>
      <c r="D3" s="3" t="inlineStr">
        <is>
          <t>Priority</t>
        </is>
      </c>
      <c r="E3" s="3" t="inlineStr">
        <is>
          <t>Owner</t>
        </is>
      </c>
      <c r="F3" s="3" t="inlineStr">
        <is>
          <t>Status</t>
        </is>
      </c>
    </row>
    <row r="4" ht="30" customHeight="1">
      <c r="A4" s="40" t="n">
        <v>1</v>
      </c>
      <c r="B4" s="41" t="inlineStr">
        <is>
          <t>Obtain full reconciliation of $1.0M EBITDA discrepancy (CIM $22.8M vs. QoE $23.8M)</t>
        </is>
      </c>
      <c r="C4" s="41" t="inlineStr">
        <is>
          <t>Financial / QoE</t>
        </is>
      </c>
      <c r="D4" s="37" t="inlineStr">
        <is>
          <t>P1</t>
        </is>
      </c>
      <c r="E4" s="41" t="inlineStr">
        <is>
          <t>Bridgewater Forsyth</t>
        </is>
      </c>
      <c r="F4" s="7" t="inlineStr">
        <is>
          <t>Open</t>
        </is>
      </c>
    </row>
    <row r="5" ht="30" customHeight="1">
      <c r="A5" s="40" t="n">
        <v>2</v>
      </c>
      <c r="B5" s="42" t="inlineStr">
        <is>
          <t>QoE firm to independently validate all 5 EBITDA add-backs; test recurrence across FY2022–FY2024</t>
        </is>
      </c>
      <c r="C5" s="42" t="inlineStr">
        <is>
          <t>Financial / QoE</t>
        </is>
      </c>
      <c r="D5" s="37" t="inlineStr">
        <is>
          <t>P1</t>
        </is>
      </c>
      <c r="E5" s="42" t="inlineStr">
        <is>
          <t>Bridgewater Forsyth</t>
        </is>
      </c>
      <c r="F5" s="7" t="inlineStr">
        <is>
          <t>Open</t>
        </is>
      </c>
    </row>
    <row r="6" ht="30" customHeight="1">
      <c r="A6" s="40" t="n">
        <v>3</v>
      </c>
      <c r="B6" s="41" t="inlineStr">
        <is>
          <t>Commission updated Phase II ESA and vapor intrusion assessment at Grand Junction HQ</t>
        </is>
      </c>
      <c r="C6" s="41" t="inlineStr">
        <is>
          <t>Environmental</t>
        </is>
      </c>
      <c r="D6" s="37" t="inlineStr">
        <is>
          <t>P1</t>
        </is>
      </c>
      <c r="E6" s="41" t="inlineStr">
        <is>
          <t>Buyer's Env. Counsel</t>
        </is>
      </c>
      <c r="F6" s="7" t="inlineStr">
        <is>
          <t>Open</t>
        </is>
      </c>
    </row>
    <row r="7" ht="30" customHeight="1">
      <c r="A7" s="40" t="n">
        <v>4</v>
      </c>
      <c r="B7" s="42" t="inlineStr">
        <is>
          <t>Install off-site sentinel groundwater monitoring wells at Grand Junction; confirm plume containment</t>
        </is>
      </c>
      <c r="C7" s="42" t="inlineStr">
        <is>
          <t>Environmental</t>
        </is>
      </c>
      <c r="D7" s="37" t="inlineStr">
        <is>
          <t>P1</t>
        </is>
      </c>
      <c r="E7" s="42" t="inlineStr">
        <is>
          <t>Buyer's Env. Counsel</t>
        </is>
      </c>
      <c r="F7" s="7" t="inlineStr">
        <is>
          <t>Open</t>
        </is>
      </c>
    </row>
    <row r="8" ht="30" customHeight="1">
      <c r="A8" s="40" t="n">
        <v>5</v>
      </c>
      <c r="B8" s="41" t="inlineStr">
        <is>
          <t>Obtain independent remediation cost estimate for Grand Junction (update 2019 Elkhorn estimate)</t>
        </is>
      </c>
      <c r="C8" s="41" t="inlineStr">
        <is>
          <t>Environmental</t>
        </is>
      </c>
      <c r="D8" s="37" t="inlineStr">
        <is>
          <t>P1</t>
        </is>
      </c>
      <c r="E8" s="41" t="inlineStr">
        <is>
          <t>Buyer's Env. Counsel</t>
        </is>
      </c>
      <c r="F8" s="7" t="inlineStr">
        <is>
          <t>Open</t>
        </is>
      </c>
    </row>
    <row r="9" ht="30" customHeight="1">
      <c r="A9" s="40" t="n">
        <v>6</v>
      </c>
      <c r="B9" s="42" t="inlineStr">
        <is>
          <t>Engage DOE Contracting Officer re: IDIQ ceiling modification and novation requirements</t>
        </is>
      </c>
      <c r="C9" s="42" t="inlineStr">
        <is>
          <t>Regulatory / Permits</t>
        </is>
      </c>
      <c r="D9" s="37" t="inlineStr">
        <is>
          <t>P1</t>
        </is>
      </c>
      <c r="E9" s="42" t="inlineStr">
        <is>
          <t>Buyer's Legal Counsel</t>
        </is>
      </c>
      <c r="F9" s="7" t="inlineStr">
        <is>
          <t>Open</t>
        </is>
      </c>
    </row>
    <row r="10" ht="30" customHeight="1">
      <c r="A10" s="40" t="n">
        <v>7</v>
      </c>
      <c r="B10" s="41" t="inlineStr">
        <is>
          <t>Model FY2025 DOE revenue with and without ceiling increase; adjust valuation accordingly</t>
        </is>
      </c>
      <c r="C10" s="41" t="inlineStr">
        <is>
          <t>Financial / QoE</t>
        </is>
      </c>
      <c r="D10" s="37" t="inlineStr">
        <is>
          <t>P1</t>
        </is>
      </c>
      <c r="E10" s="41" t="inlineStr">
        <is>
          <t>Bridgewater Forsyth</t>
        </is>
      </c>
      <c r="F10" s="7" t="inlineStr">
        <is>
          <t>Open</t>
        </is>
      </c>
    </row>
    <row r="11" ht="30" customHeight="1">
      <c r="A11" s="40" t="n">
        <v>8</v>
      </c>
      <c r="B11" s="42" t="inlineStr">
        <is>
          <t>Obtain landlord consent from Wasatch Industrial Properties for SLC lease (cure prior assignment + new CoC)</t>
        </is>
      </c>
      <c r="C11" s="42" t="inlineStr">
        <is>
          <t>Real Property</t>
        </is>
      </c>
      <c r="D11" s="37" t="inlineStr">
        <is>
          <t>P1</t>
        </is>
      </c>
      <c r="E11" s="42" t="inlineStr">
        <is>
          <t>Buyer's Legal Counsel</t>
        </is>
      </c>
      <c r="F11" s="7" t="inlineStr">
        <is>
          <t>Open</t>
        </is>
      </c>
    </row>
    <row r="12" ht="30" customHeight="1">
      <c r="A12" s="40" t="n">
        <v>9</v>
      </c>
      <c r="B12" s="41" t="inlineStr">
        <is>
          <t>Expedite Utah DEQ permit transfer (UTH-0441) from Pinnacle to RES; obtain DEQ comfort letter</t>
        </is>
      </c>
      <c r="C12" s="41" t="inlineStr">
        <is>
          <t>Regulatory / Permits</t>
        </is>
      </c>
      <c r="D12" s="37" t="inlineStr">
        <is>
          <t>P1</t>
        </is>
      </c>
      <c r="E12" s="41" t="inlineStr">
        <is>
          <t>Buyer's Env. Counsel</t>
        </is>
      </c>
      <c r="F12" s="7" t="inlineStr">
        <is>
          <t>Open</t>
        </is>
      </c>
    </row>
    <row r="13" ht="30" customHeight="1">
      <c r="A13" s="40" t="n">
        <v>10</v>
      </c>
      <c r="B13" s="42" t="inlineStr">
        <is>
          <t>Arrange acquisition financing to cover $38.7M mandatory debt prepayment + $263K premium</t>
        </is>
      </c>
      <c r="C13" s="42" t="inlineStr">
        <is>
          <t>Debt / Credit</t>
        </is>
      </c>
      <c r="D13" s="37" t="inlineStr">
        <is>
          <t>P1</t>
        </is>
      </c>
      <c r="E13" s="42" t="inlineStr">
        <is>
          <t>Buyer's Finance Team</t>
        </is>
      </c>
      <c r="F13" s="7" t="inlineStr">
        <is>
          <t>Open</t>
        </is>
      </c>
    </row>
    <row r="14" ht="30" customHeight="1">
      <c r="A14" s="40" t="n">
        <v>11</v>
      </c>
      <c r="B14" s="41" t="inlineStr">
        <is>
          <t>Obtain payoff letter from High Plains National Bank; confirm lien release mechanics</t>
        </is>
      </c>
      <c r="C14" s="41" t="inlineStr">
        <is>
          <t>Debt / Credit</t>
        </is>
      </c>
      <c r="D14" s="37" t="inlineStr">
        <is>
          <t>P1</t>
        </is>
      </c>
      <c r="E14" s="41" t="inlineStr">
        <is>
          <t>Buyer's Legal Counsel</t>
        </is>
      </c>
      <c r="F14" s="7" t="inlineStr">
        <is>
          <t>Open</t>
        </is>
      </c>
    </row>
    <row r="15" ht="30" customHeight="1">
      <c r="A15" s="40" t="n">
        <v>12</v>
      </c>
      <c r="B15" s="42" t="inlineStr">
        <is>
          <t>Negotiate treatment of $2.625M single-trigger CoC severance (CEO/COO) in purchase price</t>
        </is>
      </c>
      <c r="C15" s="42" t="inlineStr">
        <is>
          <t>Human Capital</t>
        </is>
      </c>
      <c r="D15" s="37" t="inlineStr">
        <is>
          <t>P1</t>
        </is>
      </c>
      <c r="E15" s="42" t="inlineStr">
        <is>
          <t>Buyer's Legal Counsel</t>
        </is>
      </c>
      <c r="F15" s="7" t="inlineStr">
        <is>
          <t>Open</t>
        </is>
      </c>
    </row>
    <row r="16" ht="30" customHeight="1">
      <c r="A16" s="40" t="n">
        <v>13</v>
      </c>
      <c r="B16" s="41" t="inlineStr">
        <is>
          <t>Obtain full NLRB petition details; assess Teamsters election timeline and labor strategy</t>
        </is>
      </c>
      <c r="C16" s="41" t="inlineStr">
        <is>
          <t>Human Capital</t>
        </is>
      </c>
      <c r="D16" s="37" t="inlineStr">
        <is>
          <t>P1</t>
        </is>
      </c>
      <c r="E16" s="41" t="inlineStr">
        <is>
          <t>Buyer's Labor Counsel</t>
        </is>
      </c>
      <c r="F16" s="7" t="inlineStr">
        <is>
          <t>Open</t>
        </is>
      </c>
    </row>
    <row r="17" ht="30" customHeight="1">
      <c r="A17" s="40" t="n">
        <v>14</v>
      </c>
      <c r="B17" s="42" t="inlineStr">
        <is>
          <t>Negotiate robust post-closing retention agreements for Derek and Jason Calloway</t>
        </is>
      </c>
      <c r="C17" s="42" t="inlineStr">
        <is>
          <t>Human Capital</t>
        </is>
      </c>
      <c r="D17" s="37" t="inlineStr">
        <is>
          <t>P1</t>
        </is>
      </c>
      <c r="E17" s="42" t="inlineStr">
        <is>
          <t>Buyer's Legal Counsel</t>
        </is>
      </c>
      <c r="F17" s="7" t="inlineStr">
        <is>
          <t>Open</t>
        </is>
      </c>
    </row>
    <row r="18" ht="30" customHeight="1">
      <c r="A18" s="40" t="n">
        <v>15</v>
      </c>
      <c r="B18" s="41" t="inlineStr">
        <is>
          <t>Engage Big 4 / national accounting firm for FY2024 audit (closing condition per LOI §8(i))</t>
        </is>
      </c>
      <c r="C18" s="41" t="inlineStr">
        <is>
          <t>Financial / QoE</t>
        </is>
      </c>
      <c r="D18" s="37" t="inlineStr">
        <is>
          <t>P1</t>
        </is>
      </c>
      <c r="E18" s="41" t="inlineStr">
        <is>
          <t>Buyer's Accounting</t>
        </is>
      </c>
      <c r="F18" s="7" t="inlineStr">
        <is>
          <t>Open</t>
        </is>
      </c>
    </row>
    <row r="19" ht="30" customHeight="1">
      <c r="A19" s="40" t="n">
        <v>16</v>
      </c>
      <c r="B19" s="42" t="inlineStr">
        <is>
          <t>Resolve CDPHE enforcement action (Docket CDPHE-HW-2024-0093) or establish adequate escrow</t>
        </is>
      </c>
      <c r="C19" s="42" t="inlineStr">
        <is>
          <t>Environmental</t>
        </is>
      </c>
      <c r="D19" s="37" t="inlineStr">
        <is>
          <t>P1</t>
        </is>
      </c>
      <c r="E19" s="42" t="inlineStr">
        <is>
          <t>Buyer's Env. Counsel</t>
        </is>
      </c>
      <c r="F19" s="7" t="inlineStr">
        <is>
          <t>Open</t>
        </is>
      </c>
    </row>
    <row r="20" ht="30" customHeight="1">
      <c r="A20" s="40" t="n">
        <v>17</v>
      </c>
      <c r="B20" s="41" t="inlineStr">
        <is>
          <t>Confirm Wyoming DEQ timely renewal status for Casper permit (WY-HW-2019-033)</t>
        </is>
      </c>
      <c r="C20" s="41" t="inlineStr">
        <is>
          <t>Regulatory / Permits</t>
        </is>
      </c>
      <c r="D20" s="33" t="inlineStr">
        <is>
          <t>P2</t>
        </is>
      </c>
      <c r="E20" s="41" t="inlineStr">
        <is>
          <t>Buyer's Env. Counsel</t>
        </is>
      </c>
      <c r="F20" s="7" t="inlineStr">
        <is>
          <t>Open</t>
        </is>
      </c>
    </row>
    <row r="21" ht="30" customHeight="1">
      <c r="A21" s="40" t="n">
        <v>18</v>
      </c>
      <c r="B21" s="42" t="inlineStr">
        <is>
          <t>Commission independent fleet appraisal; adjust normalized CapEx in valuation model</t>
        </is>
      </c>
      <c r="C21" s="42" t="inlineStr">
        <is>
          <t>Financial / QoE</t>
        </is>
      </c>
      <c r="D21" s="33" t="inlineStr">
        <is>
          <t>P2</t>
        </is>
      </c>
      <c r="E21" s="42" t="inlineStr">
        <is>
          <t>Buyer's Ops Advisor</t>
        </is>
      </c>
      <c r="F21" s="7" t="inlineStr">
        <is>
          <t>Open</t>
        </is>
      </c>
    </row>
    <row r="22" ht="30" customHeight="1">
      <c r="A22" s="40" t="n">
        <v>19</v>
      </c>
      <c r="B22" s="41" t="inlineStr">
        <is>
          <t>Engage asbestos liability specialist; review all 145 project sites; evaluate tail insurance</t>
        </is>
      </c>
      <c r="C22" s="41" t="inlineStr">
        <is>
          <t>Environmental</t>
        </is>
      </c>
      <c r="D22" s="33" t="inlineStr">
        <is>
          <t>P2</t>
        </is>
      </c>
      <c r="E22" s="41" t="inlineStr">
        <is>
          <t>Buyer's Env. Counsel</t>
        </is>
      </c>
      <c r="F22" s="7" t="inlineStr">
        <is>
          <t>Open</t>
        </is>
      </c>
    </row>
    <row r="23" ht="30" customHeight="1">
      <c r="A23" s="40" t="n">
        <v>20</v>
      </c>
      <c r="B23" s="42" t="inlineStr">
        <is>
          <t>Obtain Intermountain Health Systems renewal decision (due ~Feb 2025)</t>
        </is>
      </c>
      <c r="C23" s="42" t="inlineStr">
        <is>
          <t>Customer / Contract</t>
        </is>
      </c>
      <c r="D23" s="33" t="inlineStr">
        <is>
          <t>P2</t>
        </is>
      </c>
      <c r="E23" s="42" t="inlineStr">
        <is>
          <t>Buyer's Legal Counsel</t>
        </is>
      </c>
      <c r="F23" s="7" t="inlineStr">
        <is>
          <t>Open</t>
        </is>
      </c>
    </row>
    <row r="24" ht="30" customHeight="1">
      <c r="A24" s="40" t="n">
        <v>21</v>
      </c>
      <c r="B24" s="41" t="inlineStr">
        <is>
          <t>Obtain full Ramirez case file; engage independent coverage counsel re: Frontier reservation of rights</t>
        </is>
      </c>
      <c r="C24" s="41" t="inlineStr">
        <is>
          <t>Litigation</t>
        </is>
      </c>
      <c r="D24" s="33" t="inlineStr">
        <is>
          <t>P2</t>
        </is>
      </c>
      <c r="E24" s="41" t="inlineStr">
        <is>
          <t>Buyer's Legal Counsel</t>
        </is>
      </c>
      <c r="F24" s="7" t="inlineStr">
        <is>
          <t>Open</t>
        </is>
      </c>
    </row>
    <row r="25" ht="30" customHeight="1">
      <c r="A25" s="40" t="n">
        <v>22</v>
      </c>
      <c r="B25" s="42" t="inlineStr">
        <is>
          <t>Review trust instrument for Calloway Family Trust; confirm trustee authority to sell</t>
        </is>
      </c>
      <c r="C25" s="42" t="inlineStr">
        <is>
          <t>Corporate / Structural</t>
        </is>
      </c>
      <c r="D25" s="33" t="inlineStr">
        <is>
          <t>P2</t>
        </is>
      </c>
      <c r="E25" s="42" t="inlineStr">
        <is>
          <t>Buyer's Legal Counsel</t>
        </is>
      </c>
      <c r="F25" s="7" t="inlineStr">
        <is>
          <t>Open</t>
        </is>
      </c>
    </row>
    <row r="26" ht="30" customHeight="1">
      <c r="A26" s="40" t="n">
        <v>23</v>
      </c>
      <c r="B26" s="41" t="inlineStr">
        <is>
          <t>Engage ERISA counsel to review 2023 401(k) safe harbor suspension compliance</t>
        </is>
      </c>
      <c r="C26" s="41" t="inlineStr">
        <is>
          <t>Human Capital</t>
        </is>
      </c>
      <c r="D26" s="34" t="inlineStr">
        <is>
          <t>P3</t>
        </is>
      </c>
      <c r="E26" s="41" t="inlineStr">
        <is>
          <t>Buyer's Benefits Counsel</t>
        </is>
      </c>
      <c r="F26" s="7" t="inlineStr">
        <is>
          <t>Open</t>
        </is>
      </c>
    </row>
    <row r="27" ht="30" customHeight="1">
      <c r="A27" s="40" t="n">
        <v>24</v>
      </c>
      <c r="B27" s="42" t="inlineStr">
        <is>
          <t>Negotiate Pueblo Storage Yard lease renewal or alternative arrangement</t>
        </is>
      </c>
      <c r="C27" s="42" t="inlineStr">
        <is>
          <t>Real Property</t>
        </is>
      </c>
      <c r="D27" s="34" t="inlineStr">
        <is>
          <t>P3</t>
        </is>
      </c>
      <c r="E27" s="42" t="inlineStr">
        <is>
          <t>Buyer's Legal Counsel</t>
        </is>
      </c>
      <c r="F27" s="7" t="inlineStr">
        <is>
          <t>Open</t>
        </is>
      </c>
    </row>
    <row r="28" ht="30" customHeight="1">
      <c r="A28" s="40" t="n">
        <v>25</v>
      </c>
      <c r="B28" s="41" t="inlineStr">
        <is>
          <t>Commission updated Grand Junction property appraisal reflecting environmental conditions</t>
        </is>
      </c>
      <c r="C28" s="41" t="inlineStr">
        <is>
          <t>Real Property</t>
        </is>
      </c>
      <c r="D28" s="34" t="inlineStr">
        <is>
          <t>P3</t>
        </is>
      </c>
      <c r="E28" s="41" t="inlineStr">
        <is>
          <t>Buyer's Appraiser</t>
        </is>
      </c>
      <c r="F28" s="7" t="inlineStr">
        <is>
          <t>Open</t>
        </is>
      </c>
    </row>
    <row r="29" ht="30" customHeight="1">
      <c r="A29" s="40" t="n">
        <v>26</v>
      </c>
      <c r="B29" s="42" t="inlineStr">
        <is>
          <t>Review all OSHA 300 logs for completeness; verify TRIR calculation methodology</t>
        </is>
      </c>
      <c r="C29" s="42" t="inlineStr">
        <is>
          <t>Litigation</t>
        </is>
      </c>
      <c r="D29" s="34" t="inlineStr">
        <is>
          <t>P3</t>
        </is>
      </c>
      <c r="E29" s="42" t="inlineStr">
        <is>
          <t>Buyer's Safety Advisor</t>
        </is>
      </c>
      <c r="F29" s="7" t="inlineStr">
        <is>
          <t>Open</t>
        </is>
      </c>
    </row>
    <row r="30" ht="30" customHeight="1">
      <c r="A30" s="40" t="n">
        <v>27</v>
      </c>
      <c r="B30" s="41" t="inlineStr">
        <is>
          <t>Evaluate non-compete enforceability in all 5 states (CO, UT, WY, MT, ID)</t>
        </is>
      </c>
      <c r="C30" s="41" t="inlineStr">
        <is>
          <t>Human Capital</t>
        </is>
      </c>
      <c r="D30" s="34" t="inlineStr">
        <is>
          <t>P3</t>
        </is>
      </c>
      <c r="E30" s="41" t="inlineStr">
        <is>
          <t>Buyer's Legal Counsel</t>
        </is>
      </c>
      <c r="F30" s="7" t="inlineStr">
        <is>
          <t>Open</t>
        </is>
      </c>
    </row>
    <row r="31" ht="30" customHeight="1">
      <c r="A31" s="40" t="n">
        <v>28</v>
      </c>
      <c r="B31" s="42" t="inlineStr">
        <is>
          <t>Evaluate post-closing dissolution or restructuring of Pinnacle Waste Solutions LLC</t>
        </is>
      </c>
      <c r="C31" s="42" t="inlineStr">
        <is>
          <t>Corporate / Structural</t>
        </is>
      </c>
      <c r="D31" s="34" t="inlineStr">
        <is>
          <t>P3</t>
        </is>
      </c>
      <c r="E31" s="42" t="inlineStr">
        <is>
          <t>Buyer's Legal Counsel</t>
        </is>
      </c>
      <c r="F31" s="7" t="inlineStr">
        <is>
          <t>Open</t>
        </is>
      </c>
    </row>
  </sheetData>
  <autoFilter ref="A3:F31"/>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2026-08-25T18:33:05Z</dcterms:created>
  <dcterms:modified xmlns:dcterms="http://purl.org/dc/terms/" xmlns:xsi="http://www.w3.org/2001/XMLSchema-instance" xsi:type="dcterms:W3CDTF">2026-08-25T18:33:05Z</dcterms:modified>
</cp:coreProperties>
</file>