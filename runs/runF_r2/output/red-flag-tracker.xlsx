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d Flag Tracker" sheetId="2" state="visible" r:id="rId2"/>
    <sheet xmlns:r="http://schemas.openxmlformats.org/officeDocument/2006/relationships" name="Financial Summary" sheetId="3" state="visible" r:id="rId3"/>
    <sheet xmlns:r="http://schemas.openxmlformats.org/officeDocument/2006/relationships" name="Contingent Liabilities" sheetId="4" state="visible" r:id="rId4"/>
    <sheet xmlns:r="http://schemas.openxmlformats.org/officeDocument/2006/relationships" name="Customer Risk" sheetId="5" state="visible" r:id="rId5"/>
    <sheet xmlns:r="http://schemas.openxmlformats.org/officeDocument/2006/relationships" name="Action Checklist" sheetId="6" state="visible" r:id="rId6"/>
  </sheets>
  <definedNames/>
  <calcPr calcId="124519" fullCalcOnLoad="1"/>
</workbook>
</file>

<file path=xl/styles.xml><?xml version="1.0" encoding="utf-8"?>
<styleSheet xmlns="http://schemas.openxmlformats.org/spreadsheetml/2006/main">
  <numFmts count="1">
    <numFmt numFmtId="164" formatCode="$#,##0"/>
  </numFmts>
  <fonts count="17">
    <font>
      <name val="Calibri"/>
      <family val="2"/>
      <color theme="1"/>
      <sz val="11"/>
      <scheme val="minor"/>
    </font>
    <font>
      <name val="Calibri"/>
      <b val="1"/>
      <color rgb="00FFFFFF"/>
      <sz val="20"/>
    </font>
    <font>
      <name val="Calibri"/>
      <color rgb="004A90D9"/>
      <sz val="14"/>
    </font>
    <font>
      <name val="Calibri"/>
      <color rgb="00BDC3C7"/>
      <sz val="10"/>
    </font>
    <font>
      <name val="Calibri"/>
      <b val="1"/>
      <color rgb="001F2D3D"/>
      <sz val="10"/>
    </font>
    <font>
      <name val="Calibri"/>
      <color rgb="00000000"/>
      <sz val="10"/>
    </font>
    <font>
      <name val="Calibri"/>
      <b val="1"/>
      <color rgb="00C0392B"/>
      <sz val="10"/>
    </font>
    <font>
      <name val="Calibri"/>
      <b val="1"/>
      <color rgb="00FFFFFF"/>
      <sz val="10"/>
    </font>
    <font>
      <name val="Calibri"/>
      <b val="1"/>
      <color rgb="00000000"/>
      <sz val="10"/>
    </font>
    <font>
      <name val="Calibri"/>
      <b val="1"/>
      <color rgb="00FFFFFF"/>
      <sz val="13"/>
    </font>
    <font>
      <name val="Calibri"/>
      <b val="1"/>
      <color rgb="00856404"/>
      <sz val="10"/>
    </font>
    <font>
      <name val="Calibri"/>
      <b val="1"/>
      <color rgb="00FFFFFF"/>
      <sz val="11"/>
    </font>
    <font>
      <name val="Calibri"/>
      <color rgb="007F8C8D"/>
      <sz val="10"/>
    </font>
    <font>
      <name val="Calibri"/>
      <b val="1"/>
      <color rgb="00E67E22"/>
      <sz val="10"/>
    </font>
    <font>
      <name val="Calibri"/>
      <color rgb="00E67E22"/>
      <sz val="10"/>
    </font>
    <font>
      <name val="Calibri"/>
      <b val="1"/>
      <sz val="10"/>
    </font>
    <font>
      <name val="Calibri"/>
      <b val="1"/>
      <color rgb="0027AE60"/>
      <sz val="10"/>
    </font>
  </fonts>
  <fills count="16">
    <fill>
      <patternFill/>
    </fill>
    <fill>
      <patternFill patternType="gray125"/>
    </fill>
    <fill>
      <patternFill patternType="solid">
        <fgColor rgb="001F2D3D"/>
      </patternFill>
    </fill>
    <fill>
      <patternFill patternType="solid">
        <fgColor rgb="00C0392B"/>
      </patternFill>
    </fill>
    <fill>
      <patternFill patternType="solid">
        <fgColor rgb="00E67E22"/>
      </patternFill>
    </fill>
    <fill>
      <patternFill patternType="solid">
        <fgColor rgb="00F1C40F"/>
      </patternFill>
    </fill>
    <fill>
      <patternFill patternType="solid">
        <fgColor rgb="0027AE60"/>
      </patternFill>
    </fill>
    <fill>
      <patternFill patternType="solid">
        <fgColor rgb="002E4057"/>
      </patternFill>
    </fill>
    <fill>
      <patternFill patternType="solid">
        <fgColor rgb="00F2F4F6"/>
      </patternFill>
    </fill>
    <fill>
      <patternFill patternType="solid">
        <fgColor rgb="00FFF3CD"/>
      </patternFill>
    </fill>
    <fill>
      <patternFill patternType="solid">
        <fgColor rgb="00FFFFFF"/>
      </patternFill>
    </fill>
    <fill>
      <patternFill patternType="solid">
        <fgColor rgb="003D5A80"/>
      </patternFill>
    </fill>
    <fill>
      <patternFill patternType="solid">
        <fgColor rgb="00FDEBD0"/>
      </patternFill>
    </fill>
    <fill>
      <patternFill patternType="solid">
        <fgColor rgb="00FADBD8"/>
      </patternFill>
    </fill>
    <fill>
      <patternFill patternType="solid">
        <fgColor rgb="00D5F5E3"/>
      </patternFill>
    </fill>
    <fill>
      <patternFill patternType="solid">
        <fgColor rgb="00FEF9E7"/>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52">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4" fillId="0" borderId="0" pivotButton="0" quotePrefix="0" xfId="0"/>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9" fillId="2" borderId="0" applyAlignment="1" pivotButton="0" quotePrefix="0" xfId="0">
      <alignment horizontal="center" vertical="center" wrapText="1"/>
    </xf>
    <xf numFmtId="0" fontId="7"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8" borderId="1" applyAlignment="1" pivotButton="0" quotePrefix="0" xfId="0">
      <alignment horizontal="left" vertical="top" wrapText="1"/>
    </xf>
    <xf numFmtId="0" fontId="10" fillId="9" borderId="1" applyAlignment="1" pivotButton="0" quotePrefix="0" xfId="0">
      <alignment horizontal="center" vertical="center" wrapText="1"/>
    </xf>
    <xf numFmtId="0" fontId="5" fillId="10" borderId="1" applyAlignment="1" pivotButton="0" quotePrefix="0" xfId="0">
      <alignment horizontal="left" vertical="top" wrapText="1"/>
    </xf>
    <xf numFmtId="0" fontId="11" fillId="7" borderId="0" applyAlignment="1" pivotButton="0" quotePrefix="0" xfId="0">
      <alignment horizontal="center" vertical="center" wrapText="1"/>
    </xf>
    <xf numFmtId="0" fontId="7" fillId="11" borderId="1" applyAlignment="1" pivotButton="0" quotePrefix="0" xfId="0">
      <alignment horizontal="center" vertical="center" wrapText="1"/>
    </xf>
    <xf numFmtId="0" fontId="8" fillId="8" borderId="1" applyAlignment="1" pivotButton="0" quotePrefix="0" xfId="0">
      <alignment horizontal="left" vertical="top" wrapText="1"/>
    </xf>
    <xf numFmtId="3" fontId="5" fillId="8" borderId="1" applyAlignment="1" pivotButton="0" quotePrefix="0" xfId="0">
      <alignment horizontal="center" vertical="center" wrapText="1"/>
    </xf>
    <xf numFmtId="0" fontId="8" fillId="10" borderId="1" applyAlignment="1" pivotButton="0" quotePrefix="0" xfId="0">
      <alignment horizontal="left" vertical="top" wrapText="1"/>
    </xf>
    <xf numFmtId="3" fontId="5" fillId="10" borderId="1" applyAlignment="1" pivotButton="0" quotePrefix="0" xfId="0">
      <alignment horizontal="center" vertical="center" wrapText="1"/>
    </xf>
    <xf numFmtId="0" fontId="5" fillId="8" borderId="1" applyAlignment="1" pivotButton="0" quotePrefix="0" xfId="0">
      <alignment horizontal="center" vertical="center" wrapText="1"/>
    </xf>
    <xf numFmtId="0" fontId="12" fillId="10" borderId="1" applyAlignment="1" pivotButton="0" quotePrefix="0" xfId="0">
      <alignment horizontal="center" vertical="center" wrapText="1"/>
    </xf>
    <xf numFmtId="3" fontId="13" fillId="12" borderId="1" applyAlignment="1" pivotButton="0" quotePrefix="0" xfId="0">
      <alignment horizontal="center" vertical="center" wrapText="1"/>
    </xf>
    <xf numFmtId="0" fontId="12" fillId="8" borderId="1" applyAlignment="1" pivotButton="0" quotePrefix="0" xfId="0">
      <alignment horizontal="center" vertical="center" wrapText="1"/>
    </xf>
    <xf numFmtId="0" fontId="14" fillId="10" borderId="1" applyAlignment="1" pivotButton="0" quotePrefix="0" xfId="0">
      <alignment horizontal="left" vertical="top" wrapText="1"/>
    </xf>
    <xf numFmtId="0" fontId="14" fillId="8" borderId="1" applyAlignment="1" pivotButton="0" quotePrefix="0" xfId="0">
      <alignment horizontal="left" vertical="top" wrapText="1"/>
    </xf>
    <xf numFmtId="3" fontId="8" fillId="8" borderId="1" applyAlignment="1" pivotButton="0" quotePrefix="0" xfId="0">
      <alignment horizontal="center" vertical="center" wrapText="1"/>
    </xf>
    <xf numFmtId="0" fontId="14" fillId="13" borderId="1" applyAlignment="1" pivotButton="0" quotePrefix="0" xfId="0">
      <alignment horizontal="left" vertical="top" wrapText="1"/>
    </xf>
    <xf numFmtId="3" fontId="8" fillId="10" borderId="1" applyAlignment="1" pivotButton="0" quotePrefix="0" xfId="0">
      <alignment horizontal="center" vertical="center" wrapText="1"/>
    </xf>
    <xf numFmtId="0" fontId="15" fillId="8" borderId="1" applyAlignment="1" pivotButton="0" quotePrefix="0" xfId="0">
      <alignment horizontal="center" vertical="center" wrapText="1"/>
    </xf>
    <xf numFmtId="0" fontId="12" fillId="8" borderId="1" applyAlignment="1" pivotButton="0" quotePrefix="0" xfId="0">
      <alignment horizontal="left" vertical="top" wrapText="1"/>
    </xf>
    <xf numFmtId="0" fontId="15" fillId="10" borderId="1" applyAlignment="1" pivotButton="0" quotePrefix="0" xfId="0">
      <alignment horizontal="center" vertical="center" wrapText="1"/>
    </xf>
    <xf numFmtId="0" fontId="12" fillId="10" borderId="1" applyAlignment="1" pivotButton="0" quotePrefix="0" xfId="0">
      <alignment horizontal="left" vertical="top" wrapText="1"/>
    </xf>
    <xf numFmtId="0" fontId="16" fillId="14" borderId="1" applyAlignment="1" pivotButton="0" quotePrefix="0" xfId="0">
      <alignment horizontal="center" vertical="center" wrapText="1"/>
    </xf>
    <xf numFmtId="164" fontId="5" fillId="8" borderId="1" applyAlignment="1" pivotButton="0" quotePrefix="0" xfId="0">
      <alignment horizontal="center" vertical="center" wrapText="1"/>
    </xf>
    <xf numFmtId="0" fontId="5" fillId="10" borderId="1" applyAlignment="1" pivotButton="0" quotePrefix="0" xfId="0">
      <alignment horizontal="center" vertical="center" wrapText="1"/>
    </xf>
    <xf numFmtId="0" fontId="13" fillId="12" borderId="1" applyAlignment="1" pivotButton="0" quotePrefix="0" xfId="0">
      <alignment horizontal="center" vertical="center" wrapText="1"/>
    </xf>
    <xf numFmtId="164" fontId="5" fillId="10" borderId="1" applyAlignment="1" pivotButton="0" quotePrefix="0" xfId="0">
      <alignment horizontal="center" vertical="center" wrapText="1"/>
    </xf>
    <xf numFmtId="0" fontId="14" fillId="12" borderId="1" applyAlignment="1" pivotButton="0" quotePrefix="0" xfId="0">
      <alignment horizontal="left" vertical="top" wrapText="1"/>
    </xf>
    <xf numFmtId="0" fontId="6" fillId="13" borderId="1" applyAlignment="1" pivotButton="0" quotePrefix="0" xfId="0">
      <alignment horizontal="center" vertical="center" wrapText="1"/>
    </xf>
    <xf numFmtId="0" fontId="10" fillId="15" borderId="1" applyAlignment="1" pivotButton="0" quotePrefix="0" xfId="0">
      <alignment horizontal="center" vertical="center" wrapText="1"/>
    </xf>
    <xf numFmtId="0" fontId="7" fillId="2" borderId="1" applyAlignment="1" pivotButton="0" quotePrefix="0" xfId="0">
      <alignment horizontal="left" vertical="top" wrapText="1"/>
    </xf>
    <xf numFmtId="164" fontId="7" fillId="2" borderId="1" applyAlignment="1" pivotButton="0" quotePrefix="0" xfId="0">
      <alignment horizontal="center" vertical="center" wrapText="1"/>
    </xf>
    <xf numFmtId="0" fontId="0" fillId="2" borderId="1" pivotButton="0" quotePrefix="0" xfId="0"/>
    <xf numFmtId="164" fontId="8" fillId="8" borderId="1" applyAlignment="1" pivotButton="0" quotePrefix="0" xfId="0">
      <alignment horizontal="center" vertical="center" wrapText="1"/>
    </xf>
    <xf numFmtId="0" fontId="6" fillId="13" borderId="1" applyAlignment="1" pivotButton="0" quotePrefix="0" xfId="0">
      <alignment horizontal="left" vertical="top" wrapText="1"/>
    </xf>
    <xf numFmtId="164" fontId="8"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3" customWidth="1" min="1" max="1"/>
    <col width="28" customWidth="1" min="2" max="2"/>
    <col width="55" customWidth="1" min="3" max="3"/>
    <col width="18" customWidth="1" min="4" max="4"/>
    <col width="3" customWidth="1" min="5" max="5"/>
  </cols>
  <sheetData>
    <row r="1" ht="6" customHeight="1">
      <c r="A1" s="1" t="n"/>
      <c r="B1" s="1" t="n"/>
      <c r="C1" s="1" t="n"/>
      <c r="D1" s="1" t="n"/>
      <c r="E1" s="1" t="n"/>
    </row>
    <row r="2" ht="22" customHeight="1">
      <c r="A2" s="1" t="n"/>
      <c r="B2" s="2" t="inlineStr">
        <is>
          <t>PROJECT RIDGELINE</t>
        </is>
      </c>
      <c r="E2" s="1" t="n"/>
    </row>
    <row r="3" ht="22" customHeight="1">
      <c r="A3" s="1" t="n"/>
      <c r="B3" s="3" t="inlineStr">
        <is>
          <t>Due Diligence Red Flag Tracker</t>
        </is>
      </c>
      <c r="E3" s="1" t="n"/>
    </row>
    <row r="4" ht="22" customHeight="1">
      <c r="A4" s="1" t="n"/>
      <c r="B4" s="4" t="inlineStr">
        <is>
          <t>Ridgeline Environmental Services, Inc. — Acquisition by Sycamore Capital Partners, LP</t>
        </is>
      </c>
      <c r="E4" s="1" t="n"/>
    </row>
    <row r="5" ht="22" customHeight="1">
      <c r="A5" s="1" t="n"/>
      <c r="B5" s="1" t="n"/>
      <c r="C5" s="1" t="n"/>
      <c r="D5" s="1" t="n"/>
      <c r="E5" s="1" t="n"/>
    </row>
    <row r="6" ht="22" customHeight="1">
      <c r="A6" s="1" t="n"/>
      <c r="B6" s="1" t="n"/>
      <c r="C6" s="1" t="n"/>
      <c r="D6" s="1" t="n"/>
      <c r="E6" s="1" t="n"/>
    </row>
    <row r="8" ht="18" customHeight="1">
      <c r="B8" s="5" t="inlineStr">
        <is>
          <t>Prepared For:</t>
        </is>
      </c>
      <c r="C8" s="6" t="inlineStr">
        <is>
          <t>Sycamore Capital Partners, LP</t>
        </is>
      </c>
    </row>
    <row r="9" ht="18" customHeight="1">
      <c r="B9" s="5" t="inlineStr">
        <is>
          <t>Prepared By:</t>
        </is>
      </c>
      <c r="C9" s="6" t="inlineStr">
        <is>
          <t>Diligence Review Team</t>
        </is>
      </c>
    </row>
    <row r="10" ht="18" customHeight="1">
      <c r="B10" s="5" t="inlineStr">
        <is>
          <t>Date:</t>
        </is>
      </c>
      <c r="C10" s="6" t="inlineStr">
        <is>
          <t>December 2024</t>
        </is>
      </c>
    </row>
    <row r="11" ht="18" customHeight="1">
      <c r="B11" s="5" t="inlineStr">
        <is>
          <t>Transaction:</t>
        </is>
      </c>
      <c r="C11" s="6" t="inlineStr">
        <is>
          <t>100% Stock Acquisition of RES</t>
        </is>
      </c>
    </row>
    <row r="12" ht="18" customHeight="1">
      <c r="B12" s="5" t="inlineStr">
        <is>
          <t>Indicative EV:</t>
        </is>
      </c>
      <c r="C12" s="6" t="inlineStr">
        <is>
          <t>$182M – $205M (8.0x–9.0x Adj. EBITDA)</t>
        </is>
      </c>
    </row>
    <row r="13" ht="18" customHeight="1">
      <c r="B13" s="5" t="inlineStr">
        <is>
          <t>Adj. EBITDA:</t>
        </is>
      </c>
      <c r="C13" s="7" t="inlineStr">
        <is>
          <t>$22.8M (management) / $23.8M (QoE schedule) — RECONCILIATION REQUIRED</t>
        </is>
      </c>
    </row>
    <row r="14" ht="18" customHeight="1">
      <c r="B14" s="5" t="inlineStr">
        <is>
          <t>Bank EBITDA:</t>
        </is>
      </c>
      <c r="C14" s="6" t="inlineStr">
        <is>
          <t>$18.4M (per credit agreement definition)</t>
        </is>
      </c>
    </row>
    <row r="15" ht="18" customHeight="1">
      <c r="B15" s="5" t="inlineStr">
        <is>
          <t>Total Red Flags:</t>
        </is>
      </c>
      <c r="C15" s="6" t="inlineStr">
        <is>
          <t>15 (3 Critical | 8 High | 1 Medium | 3 Informational)</t>
        </is>
      </c>
    </row>
    <row r="17">
      <c r="B17" s="8" t="inlineStr">
        <is>
          <t>SEVERITY LEGEND</t>
        </is>
      </c>
    </row>
    <row r="18">
      <c r="B18" s="9" t="inlineStr">
        <is>
          <t>Critical</t>
        </is>
      </c>
      <c r="C18" s="6" t="inlineStr">
        <is>
          <t>Potential deal-breaker; must be resolved before signing</t>
        </is>
      </c>
    </row>
    <row r="19">
      <c r="B19" s="10" t="inlineStr">
        <is>
          <t>High</t>
        </is>
      </c>
      <c r="C19" s="6" t="inlineStr">
        <is>
          <t>Material risk requiring specific diligence action or indemnification</t>
        </is>
      </c>
    </row>
    <row r="20">
      <c r="B20" s="11" t="inlineStr">
        <is>
          <t>Medium</t>
        </is>
      </c>
      <c r="C20" s="6" t="inlineStr">
        <is>
          <t>Moderate risk; monitor and address in reps/warranties</t>
        </is>
      </c>
    </row>
    <row r="21">
      <c r="B21" s="12" t="inlineStr">
        <is>
          <t>Low</t>
        </is>
      </c>
      <c r="C21" s="6" t="inlineStr">
        <is>
          <t>Minor risk; note for post-closing integration</t>
        </is>
      </c>
    </row>
  </sheetData>
  <mergeCells count="3">
    <mergeCell ref="B3:D3"/>
    <mergeCell ref="B2:D2"/>
    <mergeCell ref="B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showGridLines="0" workbookViewId="0">
      <pane ySplit="2" topLeftCell="A3" activePane="bottomLeft" state="frozen"/>
      <selection pane="bottomLeft" activeCell="A1" sqref="A1"/>
    </sheetView>
  </sheetViews>
  <sheetFormatPr baseColWidth="8" defaultRowHeight="15"/>
  <cols>
    <col width="8" customWidth="1" min="1" max="1"/>
    <col width="18" customWidth="1" min="2" max="2"/>
    <col width="38" customWidth="1" min="3" max="3"/>
    <col width="11" customWidth="1" min="4" max="4"/>
    <col width="60" customWidth="1" min="5" max="5"/>
    <col width="22" customWidth="1" min="6" max="6"/>
    <col width="28" customWidth="1" min="7" max="7"/>
    <col width="52" customWidth="1" min="8" max="8"/>
    <col width="14" customWidth="1" min="9" max="9"/>
    <col width="16" customWidth="1" min="10" max="10"/>
    <col width="14" customWidth="1" min="11" max="11"/>
    <col width="40" customWidth="1" min="12" max="12"/>
  </cols>
  <sheetData>
    <row r="1" ht="28" customHeight="1">
      <c r="A1" s="13" t="inlineStr">
        <is>
          <t>PROJECT RIDGELINE — DUE DILIGENCE RED FLAG TRACKER</t>
        </is>
      </c>
    </row>
    <row r="2" ht="32" customHeight="1">
      <c r="A2" s="14" t="inlineStr">
        <is>
          <t>RF #</t>
        </is>
      </c>
      <c r="B2" s="14" t="inlineStr">
        <is>
          <t>Category</t>
        </is>
      </c>
      <c r="C2" s="14" t="inlineStr">
        <is>
          <t>Red Flag Title</t>
        </is>
      </c>
      <c r="D2" s="14" t="inlineStr">
        <is>
          <t>Severity</t>
        </is>
      </c>
      <c r="E2" s="14" t="inlineStr">
        <is>
          <t>Finding Summary</t>
        </is>
      </c>
      <c r="F2" s="14" t="inlineStr">
        <is>
          <t>Est. Financial Exposure</t>
        </is>
      </c>
      <c r="G2" s="14" t="inlineStr">
        <is>
          <t>Data Room Source(s)</t>
        </is>
      </c>
      <c r="H2" s="14" t="inlineStr">
        <is>
          <t>Recommended Action</t>
        </is>
      </c>
      <c r="I2" s="14" t="inlineStr">
        <is>
          <t>Status</t>
        </is>
      </c>
      <c r="J2" s="14" t="inlineStr">
        <is>
          <t>Owner</t>
        </is>
      </c>
      <c r="K2" s="14" t="inlineStr">
        <is>
          <t>Target Date</t>
        </is>
      </c>
      <c r="L2" s="14" t="inlineStr">
        <is>
          <t>Notes / Follow-Up</t>
        </is>
      </c>
    </row>
    <row r="3" ht="80" customHeight="1">
      <c r="A3" s="15" t="inlineStr">
        <is>
          <t>RF-01</t>
        </is>
      </c>
      <c r="B3" s="16" t="inlineStr">
        <is>
          <t>Financial / QoE</t>
        </is>
      </c>
      <c r="C3" s="16" t="inlineStr">
        <is>
          <t>Adjusted EBITDA Discrepancy — $1.0M Unexplained Gap</t>
        </is>
      </c>
      <c r="D3" s="9" t="inlineStr">
        <is>
          <t>Critical</t>
        </is>
      </c>
      <c r="E3" s="16" t="inlineStr">
        <is>
          <t>CIM states Adj. EBITDA = $22.8M; QoE data package EBITDA Bridge calculates $23.8M. The QoE schedule itself acknowledges the gap and states the specific adjustment category causing the discrepancy 'has not been identified.' No reconciliation provided.</t>
        </is>
      </c>
      <c r="F3" s="16" t="inlineStr">
        <is>
          <t>$8–9M valuation impact at 8–9x multiple</t>
        </is>
      </c>
      <c r="G3" s="16" t="inlineStr">
        <is>
          <t>CIM §VI.B; QoE EBITDA Bridge tab (note at bottom)</t>
        </is>
      </c>
      <c r="H3" s="16" t="inlineStr">
        <is>
          <t>Demand fully reconciled EBITDA bridge signed by CFO and QoE firm before further negotiation. Confirm which figure Bridgewater Forsyth Group is using as its starting point.</t>
        </is>
      </c>
      <c r="I3" s="17" t="inlineStr">
        <is>
          <t>Open</t>
        </is>
      </c>
      <c r="J3" s="16" t="inlineStr">
        <is>
          <t>Buyer Financial Advisor</t>
        </is>
      </c>
      <c r="K3" s="16" t="inlineStr">
        <is>
          <t>Pre-Signing</t>
        </is>
      </c>
      <c r="L3" s="16" t="inlineStr">
        <is>
          <t>LOI anchors EV to $22.8M. If $23.8M is correct, implied multiple shifts to 7.6x–8.6x. Either figure contains an error that management cannot explain.</t>
        </is>
      </c>
    </row>
    <row r="4" ht="80" customHeight="1">
      <c r="A4" s="15" t="inlineStr">
        <is>
          <t>RF-02</t>
        </is>
      </c>
      <c r="B4" s="18" t="inlineStr">
        <is>
          <t>Financial / QoE</t>
        </is>
      </c>
      <c r="C4" s="18" t="inlineStr">
        <is>
          <t>Aggressive / Questionable EBITDA Add-Backs — $5.4M Total</t>
        </is>
      </c>
      <c r="D4" s="10" t="inlineStr">
        <is>
          <t>High</t>
        </is>
      </c>
      <c r="E4" s="18" t="inlineStr">
        <is>
          <t>Five add-backs total $5.4M: (1) $1.2M litigation settlement receipt treated as non-recurring add-back — this is a cash GAIN, not a cost; (2) $800K Pinnacle integration costs in FY2024, 2+ years post-close; (3) owner comp normalization excludes bonus component; (4) bank EBITDA definition permits only $500K of non-recurring add-backs, yielding $18.4M vs. management's $22.8M.</t>
        </is>
      </c>
      <c r="F4" s="18" t="inlineStr">
        <is>
          <t>$1.2–2.5M EBITDA overstatement risk</t>
        </is>
      </c>
      <c r="G4" s="18" t="inlineStr">
        <is>
          <t>QoE EBITDA Bridge tab; Credit Agreement Summary §4</t>
        </is>
      </c>
      <c r="H4" s="18" t="inlineStr">
        <is>
          <t>Require QoE firm to independently validate each add-back. Recast EBITDA excluding litigation gain. Correct compensation normalization to include market-rate bonus. Stress-test leverage at bank-definition EBITDA ($18.4M).</t>
        </is>
      </c>
      <c r="I4" s="17" t="inlineStr">
        <is>
          <t>Open</t>
        </is>
      </c>
      <c r="J4" s="18" t="inlineStr">
        <is>
          <t>Buyer Financial Advisor</t>
        </is>
      </c>
      <c r="K4" s="18" t="inlineStr">
        <is>
          <t>Pre-Signing</t>
        </is>
      </c>
      <c r="L4" s="18" t="inlineStr">
        <is>
          <t>Bank leverage ratio = 2.10x on $18.4M EBITDA. Management leverage = 1.70x on $22.8M. Buyer's debt model must use bank definition for covenant compliance.</t>
        </is>
      </c>
    </row>
    <row r="5" ht="80" customHeight="1">
      <c r="A5" s="15" t="inlineStr">
        <is>
          <t>RF-03</t>
        </is>
      </c>
      <c r="B5" s="16" t="inlineStr">
        <is>
          <t>Commercial / Customer</t>
        </is>
      </c>
      <c r="C5" s="16" t="inlineStr">
        <is>
          <t>DOE IDIQ Ceiling Exhaustion — ~$12.1M FY2025 Revenue Headwind</t>
        </is>
      </c>
      <c r="D5" s="9" t="inlineStr">
        <is>
          <t>Critical</t>
        </is>
      </c>
      <c r="E5" s="16" t="inlineStr">
        <is>
          <t>DOE IDIQ Contract DE-EM-0005523 ($24.4M, 19.2% of revenue) has consumed 72.7% of its $45M ceiling in 61.7% of its 5-year term. At current run rate (~$2.03M/month), remaining $12.3M ceiling exhausted by ~April–May 2025 — coinciding with target closing. Contract expires August 31, 2026, leaving ~16 months of unfunded period. Not disclosed in CIM.</t>
        </is>
      </c>
      <c r="F5" s="16" t="inlineStr">
        <is>
          <t>~$12.1M FY2025 revenue headwind (9.5% of total revenue)</t>
        </is>
      </c>
      <c r="G5" s="16" t="inlineStr">
        <is>
          <t>Customer Contract Summary — DOE IDIQ Utilization Analysis tab; CIM §VI.D</t>
        </is>
      </c>
      <c r="H5" s="16" t="inlineStr">
        <is>
          <t>Contact DOE Contracting Officer pre-signing to confirm ceiling modification prospects. Model downside scenario assuming no ceiling increase. Consider conditioning EV on ceiling modification being in place at closing.</t>
        </is>
      </c>
      <c r="I5" s="17" t="inlineStr">
        <is>
          <t>Open</t>
        </is>
      </c>
      <c r="J5" s="16" t="inlineStr">
        <is>
          <t>Buyer Legal / BD</t>
        </is>
      </c>
      <c r="K5" s="16" t="inlineStr">
        <is>
          <t>Pre-Signing</t>
        </is>
      </c>
      <c r="L5" s="16" t="inlineStr">
        <is>
          <t>CIM presents DOE as providing 'substantial near-term revenue visibility' — materially misleading given ceiling exhaustion trajectory.</t>
        </is>
      </c>
    </row>
    <row r="6" ht="80" customHeight="1">
      <c r="A6" s="15" t="inlineStr">
        <is>
          <t>RF-04</t>
        </is>
      </c>
      <c r="B6" s="18" t="inlineStr">
        <is>
          <t>Financial / QoE</t>
        </is>
      </c>
      <c r="C6" s="18" t="inlineStr">
        <is>
          <t>Fleet Aging — 44.7% of Assets Past Useful Life, $9.8M Replacement Backlog</t>
        </is>
      </c>
      <c r="D6" s="10" t="inlineStr">
        <is>
          <t>High</t>
        </is>
      </c>
      <c r="E6" s="18" t="inlineStr">
        <is>
          <t>38 of 85 fleet/equipment assets (44.7%) are at or past stated useful life. Average fleet age 8.2 years vs. 7.0-year weighted average useful life. Estimated replacement cost for past-useful-life units = $9.8M. Management's normalized maintenance capex of $4.0–4.5M/year is understated — actual FY2024 maintenance capex was $5.3M. Spreading $9.8M backlog over 3 years implies ~$3.3M/year catch-up above current run rate.</t>
        </is>
      </c>
      <c r="F6" s="18" t="inlineStr">
        <is>
          <t>$2.5–3.5M/year capex gap vs. management estimate</t>
        </is>
      </c>
      <c r="G6" s="18" t="inlineStr">
        <is>
          <t>QoE Fleet &amp; Equipment Schedule tab; QoE Capex Detail tab</t>
        </is>
      </c>
      <c r="H6" s="18" t="inlineStr">
        <is>
          <t>Commission independent fleet appraisal. Require 3-year fleet replacement schedule with cost estimates. Adjust FCF model for realistic maintenance capex of $6.5–7.5M/year.</t>
        </is>
      </c>
      <c r="I6" s="17" t="inlineStr">
        <is>
          <t>Open</t>
        </is>
      </c>
      <c r="J6" s="18" t="inlineStr">
        <is>
          <t>Buyer Operations Advisor</t>
        </is>
      </c>
      <c r="K6" s="18" t="inlineStr">
        <is>
          <t>Pre-Signing</t>
        </is>
      </c>
      <c r="L6" s="18" t="inlineStr">
        <is>
          <t>CIM states normalized maintenance capex of $4.0–4.5M. Fleet data contradicts this. FCF and implied purchase price multiple are materially affected.</t>
        </is>
      </c>
    </row>
    <row r="7" ht="80" customHeight="1">
      <c r="A7" s="15" t="inlineStr">
        <is>
          <t>RF-05</t>
        </is>
      </c>
      <c r="B7" s="16" t="inlineStr">
        <is>
          <t>Financial / QoE</t>
        </is>
      </c>
      <c r="C7" s="16" t="inlineStr">
        <is>
          <t>Reported EBITDA Down 27% YoY — Masked by Add-Backs</t>
        </is>
      </c>
      <c r="D7" s="10" t="inlineStr">
        <is>
          <t>High</t>
        </is>
      </c>
      <c r="E7" s="16" t="inlineStr">
        <is>
          <t>Reported EBITDA declined from $26.0M (FY2023) to $18.4M (FY2024) — a 27% decline — while revenue grew 11.1%. EBIT margin compressed from 16.0% to 14.5%. The entire decline is masked by $5.4M in management add-backs. Other Operating Expenses grew from $3.4M to $4.5M YoY.</t>
        </is>
      </c>
      <c r="F7" s="16" t="inlineStr">
        <is>
          <t>Earnings quality concern; FY2025 budget critical</t>
        </is>
      </c>
      <c r="G7" s="16" t="inlineStr">
        <is>
          <t>QoE Historical P&amp;L tab (EBITDA growth memo line: -27.0%)</t>
        </is>
      </c>
      <c r="H7" s="16" t="inlineStr">
        <is>
          <t>Obtain FY2025 management budget and compare to adjusted EBITDA trajectory. Confirm ERP Phase 2 completion timeline and remaining cost. Assess whether any add-back categories will recur in FY2025.</t>
        </is>
      </c>
      <c r="I7" s="17" t="inlineStr">
        <is>
          <t>Open</t>
        </is>
      </c>
      <c r="J7" s="16" t="inlineStr">
        <is>
          <t>Buyer Financial Advisor</t>
        </is>
      </c>
      <c r="K7" s="16" t="inlineStr">
        <is>
          <t>Pre-Signing</t>
        </is>
      </c>
      <c r="L7" s="16" t="inlineStr">
        <is>
          <t>If any add-back category recurs in FY2025 (e.g., continued integration, additional regulatory penalties), adjusted EBITDA will not be achievable.</t>
        </is>
      </c>
    </row>
    <row r="8" ht="80" customHeight="1">
      <c r="A8" s="15" t="inlineStr">
        <is>
          <t>RF-06</t>
        </is>
      </c>
      <c r="B8" s="18" t="inlineStr">
        <is>
          <t>Environmental</t>
        </is>
      </c>
      <c r="C8" s="18" t="inlineStr">
        <is>
          <t>Stale Phase II ESA — Vapor Intrusion &amp; Off-Site Plume Risk Unquantified</t>
        </is>
      </c>
      <c r="D8" s="9" t="inlineStr">
        <is>
          <t>Critical</t>
        </is>
      </c>
      <c r="E8" s="18" t="inlineStr">
        <is>
          <t>Phase II ESA for Grand Junction HQ (only owned property) is from June 2019 — 5.5 years old. Identified: (1) petroleum hydrocarbons (TPH-diesel 4,200 mg/kg, benzene in GW at 12 µg/L); (2) chlorinated solvents (PCE 18 mg/kg soil, 22 µg/L GW; TCE 6.8 mg/kg); (3) soil gas PCE/TCE exceeding EPA RSLs adjacent to occupied vehicle maintenance building. Vapor intrusion assessment NEVER conducted. Off-site monitoring wells NEVER installed. ESA explicitly states it should not be relied upon for any future transaction without updated investigation.</t>
        </is>
      </c>
      <c r="F8" s="18" t="inlineStr">
        <is>
          <t>$2.3M–$5M+ (2019 estimate inflated; scope may expand for VI and off-site)</t>
        </is>
      </c>
      <c r="G8" s="18" t="inlineStr">
        <is>
          <t>Phase II ESA Executive Summary; Litigation &amp; Regulatory Summary §VI.A; Real Property Lease Schedule §2.1</t>
        </is>
      </c>
      <c r="H8" s="18" t="inlineStr">
        <is>
          <t>Commission updated Phase II ESA immediately, including vapor intrusion assessment and off-site monitoring wells. Do not close without current environmental data. Negotiate specific environmental indemnification with separate escrow and 6-year survival.</t>
        </is>
      </c>
      <c r="I8" s="17" t="inlineStr">
        <is>
          <t>Open</t>
        </is>
      </c>
      <c r="J8" s="18" t="inlineStr">
        <is>
          <t>Buyer Environmental Counsel</t>
        </is>
      </c>
      <c r="K8" s="18" t="inlineStr">
        <is>
          <t>Pre-Signing (Hard Condition)</t>
        </is>
      </c>
      <c r="L8" s="18" t="inlineStr">
        <is>
          <t>DNAPL (PCE/TCE) migration risk could substantially increase remediation scope. Colorado River is 1.2 miles northwest — off-site migration could trigger additional regulatory notification and remediation obligations.</t>
        </is>
      </c>
    </row>
    <row r="9" ht="80" customHeight="1">
      <c r="A9" s="15" t="inlineStr">
        <is>
          <t>RF-07</t>
        </is>
      </c>
      <c r="B9" s="16" t="inlineStr">
        <is>
          <t>Environmental</t>
        </is>
      </c>
      <c r="C9" s="16" t="inlineStr">
        <is>
          <t>CDPHE Enforcement Action — Active NOV, No Accrual, $200K–$1.16M Penalty</t>
        </is>
      </c>
      <c r="D9" s="10" t="inlineStr">
        <is>
          <t>High</t>
        </is>
      </c>
      <c r="E9" s="16" t="inlineStr">
        <is>
          <t>CDPHE issued NOV (Docket CDPHE-HW-2024-0093) July 18, 2024 for improper storage of ~14,000 gallons of F001/F002 hazardous waste at Grand Junction. Parties dispute violation period: RES claims 12 days (max $450K); CDPHE claims 31 days (max $1.16M). No accrual recorded as of 9/30/24. Settlement conference expected Q1 2025. Credit agreement Event of Default threshold for governmental remediation orders = $1.0M — CDPHE's maximum position exceeds this.</t>
        </is>
      </c>
      <c r="F9" s="16" t="inlineStr">
        <is>
          <t>$200K–$1.16M penalty (unaccrued)</t>
        </is>
      </c>
      <c r="G9" s="16" t="inlineStr">
        <is>
          <t>Litigation &amp; Regulatory Summary §III.A; Environmental Permit Schedule §2.1; Credit Agreement Summary §10</t>
        </is>
      </c>
      <c r="H9" s="16" t="inlineStr">
        <is>
          <t>Require seller to accrue midpoint estimate ($325K) before closing. Negotiate specific indemnification for CDPHE matter with separate escrow. Confirm with lender whether NOV constitutes a reportable event under credit agreement affirmative covenants.</t>
        </is>
      </c>
      <c r="I9" s="17" t="inlineStr">
        <is>
          <t>Open</t>
        </is>
      </c>
      <c r="J9" s="16" t="inlineStr">
        <is>
          <t>Buyer Legal</t>
        </is>
      </c>
      <c r="K9" s="16" t="inlineStr">
        <is>
          <t>Pre-Signing</t>
        </is>
      </c>
      <c r="L9" s="16" t="inlineStr">
        <is>
          <t>CDPHE's 31-day position at $37,500/day statutory maximum = $1,162,500 — above the credit agreement's $1.0M Event of Default threshold for governmental orders.</t>
        </is>
      </c>
    </row>
    <row r="10" ht="80" customHeight="1">
      <c r="A10" s="15" t="inlineStr">
        <is>
          <t>RF-08</t>
        </is>
      </c>
      <c r="B10" s="18" t="inlineStr">
        <is>
          <t>Environmental / Regulatory</t>
        </is>
      </c>
      <c r="C10" s="18" t="inlineStr">
        <is>
          <t>Wyoming Permit Expired — Casper Facility Operating Under Timely Renewal</t>
        </is>
      </c>
      <c r="D10" s="11" t="inlineStr">
        <is>
          <t>Medium</t>
        </is>
      </c>
      <c r="E10" s="18" t="inlineStr">
        <is>
          <t>Wyoming Hazardous Waste Permit WY-HW-2019-033 (Casper facility) expired November 30, 2024. Renewal application filed October 15, 2024. Facility operating under timely renewal provisions. Credit agreement lists permit revocation or non-renewal as an Event of Default. Renewal expected Q1 2025 per management.</t>
        </is>
      </c>
      <c r="F10" s="18" t="inlineStr">
        <is>
          <t>Potential credit default trigger if renewal delayed</t>
        </is>
      </c>
      <c r="G10" s="18" t="inlineStr">
        <is>
          <t>Environmental Permit Schedule §2.4; Credit Agreement Summary §10</t>
        </is>
      </c>
      <c r="H10" s="18" t="inlineStr">
        <is>
          <t>Obtain written confirmation from Wyoming DEQ of timely renewal status and expected timeline. Make renewal a closing condition or obtain lender waiver. Monitor for any regulatory complications arising from CDPHE enforcement action.</t>
        </is>
      </c>
      <c r="I10" s="17" t="inlineStr">
        <is>
          <t>Open</t>
        </is>
      </c>
      <c r="J10" s="18" t="inlineStr">
        <is>
          <t>Buyer Legal / Operations</t>
        </is>
      </c>
      <c r="K10" s="18" t="inlineStr">
        <is>
          <t>Pre-Signing</t>
        </is>
      </c>
      <c r="L10" s="18" t="inlineStr">
        <is>
          <t>Risk is moderate given timely renewal provisions, but any cross-state regulatory scrutiny triggered by CDPHE action could complicate Wyoming renewal.</t>
        </is>
      </c>
    </row>
    <row r="11" ht="80" customHeight="1">
      <c r="A11" s="15" t="inlineStr">
        <is>
          <t>RF-09</t>
        </is>
      </c>
      <c r="B11" s="16" t="inlineStr">
        <is>
          <t>Commercial / Customer</t>
        </is>
      </c>
      <c r="C11" s="16" t="inlineStr">
        <is>
          <t>DOE Contract Non-Assignability and Novation Risk</t>
        </is>
      </c>
      <c r="D11" s="10" t="inlineStr">
        <is>
          <t>High</t>
        </is>
      </c>
      <c r="E11" s="16" t="inlineStr">
        <is>
          <t>DOE IDIQ Contract DE-EM-0005523 is subject to Anti-Assignment Act (41 U.S.C. § 6305) and FAR 42.12. Contract Clause H-12 requires written notification to Contracting Officer within 30 days of any change in ownership. Failure to notify = grounds for termination for default. While stock acquisition may not technically constitute an assignment, novation agreement may be required. Contract = $24.4M (19.2%) of TTM revenue.</t>
        </is>
      </c>
      <c r="F11" s="16" t="inlineStr">
        <is>
          <t>$24.4M revenue at risk if contract terminated</t>
        </is>
      </c>
      <c r="G11" s="16" t="inlineStr">
        <is>
          <t>Customer Contract Summary — Top 20 Customers tab (Rank 1 notes); DOE IDIQ Utilization Analysis tab</t>
        </is>
      </c>
      <c r="H11" s="16" t="inlineStr">
        <is>
          <t>Engage DOE Contracting Officer pre-signing to confirm novation requirements and obtain written comfort regarding contract continuity post-closing. Make DOE notification/novation a closing condition.</t>
        </is>
      </c>
      <c r="I11" s="17" t="inlineStr">
        <is>
          <t>Open</t>
        </is>
      </c>
      <c r="J11" s="16" t="inlineStr">
        <is>
          <t>Buyer Legal</t>
        </is>
      </c>
      <c r="K11" s="16" t="inlineStr">
        <is>
          <t>Pre-Signing (Hard Condition)</t>
        </is>
      </c>
      <c r="L11" s="16" t="inlineStr">
        <is>
          <t>CIM represents DOE relationship as a 'cornerstone' — buyer must independently verify contract continuity before closing.</t>
        </is>
      </c>
    </row>
    <row r="12" ht="80" customHeight="1">
      <c r="A12" s="15" t="inlineStr">
        <is>
          <t>RF-10</t>
        </is>
      </c>
      <c r="B12" s="18" t="inlineStr">
        <is>
          <t>Real Property</t>
        </is>
      </c>
      <c r="C12" s="18" t="inlineStr">
        <is>
          <t>Salt Lake City Lease / Permit Cascade — $16.2M Revenue at Risk</t>
        </is>
      </c>
      <c r="D12" s="9" t="inlineStr">
        <is>
          <t>Critical</t>
        </is>
      </c>
      <c r="E12" s="18" t="inlineStr">
        <is>
          <t>SLC transfer station (2100 W North Temple) has cascading unresolved issues: (1) Lease consent requested April 12, 2022 — no landlord response in 2.5+ years; landlord sent compliance inquiry November 2024; (2) Proposed Sycamore acquisition = second change-of-control event on top of unresolved first; (3) Utah Hazardous Waste Permit UTH-0441 still in Pinnacle Waste Solutions, LLC name — transfer pending since 2022; (4) Customers served from this facility: Wasatch Front Petroleum ($6.4M), Silver Creek Mining ($5.8M), Utah DEQ ($4.6M), Summit County ($2.9M), Uinta Basin O&amp;G ($0.2M), Bear River Chemical ($1.7M) = ~$16.2M (12.7%) of total revenue.</t>
        </is>
      </c>
      <c r="F12" s="18" t="inlineStr">
        <is>
          <t>$16.2M annual revenue at risk; lease termination risk</t>
        </is>
      </c>
      <c r="G12" s="18" t="inlineStr">
        <is>
          <t>Real Property Lease Schedule §4.1 and §6; Environmental Permit Schedule §2.2; Customer Contract Summary (SLC facility notes)</t>
        </is>
      </c>
      <c r="H12" s="18" t="inlineStr">
        <is>
          <t>Obtain landlord consent to both existing Pinnacle-to-RES assignment AND proposed Sycamore acquisition before closing. Complete Utah permit transfer. Make both items hard closing conditions. Assess termination risk if landlord withholds consent.</t>
        </is>
      </c>
      <c r="I12" s="17" t="inlineStr">
        <is>
          <t>Open</t>
        </is>
      </c>
      <c r="J12" s="18" t="inlineStr">
        <is>
          <t>Buyer Legal</t>
        </is>
      </c>
      <c r="K12" s="18" t="inlineStr">
        <is>
          <t>Pre-Signing (Hard Condition)</t>
        </is>
      </c>
      <c r="L12" s="18" t="inlineStr">
        <is>
          <t>Landlord's November 2024 compliance inquiry suggests awareness of the unresolved assignment. Risk of landlord asserting default or seeking to terminate lease is elevated.</t>
        </is>
      </c>
    </row>
    <row r="13" ht="80" customHeight="1">
      <c r="A13" s="15" t="inlineStr">
        <is>
          <t>RF-11</t>
        </is>
      </c>
      <c r="B13" s="16" t="inlineStr">
        <is>
          <t>Commercial / Customer</t>
        </is>
      </c>
      <c r="C13" s="16" t="inlineStr">
        <is>
          <t>Customer Concentration — Top 5 = 50.4% of Revenue, Short T4C Windows</t>
        </is>
      </c>
      <c r="D13" s="10" t="inlineStr">
        <is>
          <t>High</t>
        </is>
      </c>
      <c r="E13" s="16" t="inlineStr">
        <is>
          <t>Top 5 customers = 50.4% of TTM revenue ($64.1M). 12 of top 20 contracts have termination for convenience clauses with ≤60-day notice. 8 contracts contain assignment/change-of-control/notification provisions triggered by proposed transaction. CMMC MSA (11.4%, $14.5M) has 60-day T4C and no minimum volume commitments.</t>
        </is>
      </c>
      <c r="F13" s="16" t="inlineStr">
        <is>
          <t>$64.1M revenue (top 5) subject to short-notice termination</t>
        </is>
      </c>
      <c r="G13" s="16" t="inlineStr">
        <is>
          <t>Customer Contract Summary — Customer Concentration Summary tab; Top 20 Customers tab</t>
        </is>
      </c>
      <c r="H13" s="16" t="inlineStr">
        <is>
          <t>Conduct customer reference calls with top 5 customers. Confirm no customer has been notified of transaction or is contemplating non-renewal. Obtain estoppel/comfort letters from key customers where possible.</t>
        </is>
      </c>
      <c r="I13" s="17" t="inlineStr">
        <is>
          <t>Open</t>
        </is>
      </c>
      <c r="J13" s="16" t="inlineStr">
        <is>
          <t>Buyer BD / Legal</t>
        </is>
      </c>
      <c r="K13" s="16" t="inlineStr">
        <is>
          <t>Pre-Signing</t>
        </is>
      </c>
      <c r="L13" s="16" t="inlineStr">
        <is>
          <t>HHI of 762 (approaching moderate concentration). DOE at 19.2% approaching high-risk threshold. Combined DOE + CMMC = 30.6% of revenue.</t>
        </is>
      </c>
    </row>
    <row r="14" ht="80" customHeight="1">
      <c r="A14" s="15" t="inlineStr">
        <is>
          <t>RF-12</t>
        </is>
      </c>
      <c r="B14" s="18" t="inlineStr">
        <is>
          <t>Real Property</t>
        </is>
      </c>
      <c r="C14" s="18" t="inlineStr">
        <is>
          <t>Lease Consent Requirements — 7 of 10 Leases Require Landlord Consent</t>
        </is>
      </c>
      <c r="D14" s="10" t="inlineStr">
        <is>
          <t>High</t>
        </is>
      </c>
      <c r="E14" s="18" t="inlineStr">
        <is>
          <t>7 of 10 leased facilities require landlord consent for assignment or change of control in connection with proposed Sycamore acquisition. Pueblo Storage Yard lease expires April 30, 2025 (on/about target closing date) — renewal negotiations ongoing. Rock Springs Field Office (expires Oct 31, 2026) has no renewal options.</t>
        </is>
      </c>
      <c r="F14" s="18" t="inlineStr">
        <is>
          <t>Closing condition risk; potential facility disruption</t>
        </is>
      </c>
      <c r="G14" s="18" t="inlineStr">
        <is>
          <t>Real Property Lease Schedule §6 (Assignment/Change-of-Control Matrix)</t>
        </is>
      </c>
      <c r="H14" s="18" t="inlineStr">
        <is>
          <t>Prepare consent matrix and begin landlord outreach immediately. Prioritize Salt Lake City, Ogden, Casper, and Billings. Make material lease consents a closing condition. Negotiate Pueblo renewal before closing.</t>
        </is>
      </c>
      <c r="I14" s="17" t="inlineStr">
        <is>
          <t>Open</t>
        </is>
      </c>
      <c r="J14" s="18" t="inlineStr">
        <is>
          <t>Buyer Legal</t>
        </is>
      </c>
      <c r="K14" s="18" t="inlineStr">
        <is>
          <t>Pre-Signing</t>
        </is>
      </c>
      <c r="L14" s="18" t="inlineStr">
        <is>
          <t>Pueblo lease expiration coincides with target closing — if not renewed, equipment/vehicles must be relocated. Assess operational impact.</t>
        </is>
      </c>
    </row>
    <row r="15" ht="80" customHeight="1">
      <c r="A15" s="15" t="inlineStr">
        <is>
          <t>RF-13</t>
        </is>
      </c>
      <c r="B15" s="16" t="inlineStr">
        <is>
          <t>Legal / Litigation</t>
        </is>
      </c>
      <c r="C15" s="16" t="inlineStr">
        <is>
          <t>Ramirez Personal Injury Claim — Coverage Uncertain, $4.8M Demand</t>
        </is>
      </c>
      <c r="D15" s="10" t="inlineStr">
        <is>
          <t>High</t>
        </is>
      </c>
      <c r="E15" s="16" t="inlineStr">
        <is>
          <t>Miguel Ramirez (former field tech) filed suit August 12, 2024 (Case No. 2:24-cv-00187, D. Wyo.) alleging VOC/heavy metal exposure at Sheridan, WY remediation site. Seeks $4.8M including punitive damages. Insurer (Frontier Specialty) issued reservation of rights letter September 19, 2024. Coverage determination pending. No accrual recorded. $4.8M demand exceeds credit agreement's $1.0M judgment Event of Default threshold.</t>
        </is>
      </c>
      <c r="F15" s="16" t="inlineStr">
        <is>
          <t>Up to $4.8M uninsured exposure if coverage denied</t>
        </is>
      </c>
      <c r="G15" s="16" t="inlineStr">
        <is>
          <t>Litigation &amp; Regulatory Summary §II.B; Insurance Program Summary §7 (pending matter note)</t>
        </is>
      </c>
      <c r="H15" s="16" t="inlineStr">
        <is>
          <t>Obtain copies of reservation of rights letter and insurer's coverage analysis. Require seller to provide specific indemnification for this matter with escrow allocation. Confirm OSHA compliance at Sheridan site. Assess whether safety protocol failures could indicate systemic issues.</t>
        </is>
      </c>
      <c r="I15" s="17" t="inlineStr">
        <is>
          <t>Open</t>
        </is>
      </c>
      <c r="J15" s="16" t="inlineStr">
        <is>
          <t>Buyer Legal</t>
        </is>
      </c>
      <c r="K15" s="16" t="inlineStr">
        <is>
          <t>Pre-Signing</t>
        </is>
      </c>
      <c r="L15" s="16" t="inlineStr">
        <is>
          <t>Reservation of rights on both CGL and pollution liability policies is a significant red flag. If both policies deny coverage, Company bears full defense cost and any judgment.</t>
        </is>
      </c>
    </row>
    <row r="16" ht="80" customHeight="1">
      <c r="A16" s="15" t="inlineStr">
        <is>
          <t>RF-14</t>
        </is>
      </c>
      <c r="B16" s="18" t="inlineStr">
        <is>
          <t>Legal / Litigation</t>
        </is>
      </c>
      <c r="C16" s="18" t="inlineStr">
        <is>
          <t>Asbestos Long-Tail Exposure — Pre-2015 Work Not Covered by Current Policy</t>
        </is>
      </c>
      <c r="D16" s="10" t="inlineStr">
        <is>
          <t>High</t>
        </is>
      </c>
      <c r="E16" s="18" t="inlineStr">
        <is>
          <t>RES operated asbestos abatement service line 2012–2023 at ~145 sites across CO, UT, WY. Current Pollution Legal Liability policy has retroactive date of January 1, 2015 — work performed 2012–2014 is NOT covered. CGL policy has blanket asbestos exclusion. No tail coverage procured for completed asbestos operations. Two open workers' comp claims from former asbestos employees (filed 2021 and 2022) alleging occupational respiratory exposure.</t>
        </is>
      </c>
      <c r="F16" s="18" t="inlineStr">
        <is>
          <t>Unquantified; asbestos claims can have 10–40 year latency</t>
        </is>
      </c>
      <c r="G16" s="18" t="inlineStr">
        <is>
          <t>Insurance Program Summary §2 (asbestos exclusion note) and §4 (retroactive date); Litigation &amp; Regulatory Summary §VI.B; QoE Service Line Detail tab (asbestos tail liabilities note)</t>
        </is>
      </c>
      <c r="H16" s="18" t="inlineStr">
        <is>
          <t>Require seller to procure asbestos completed operations tail policy covering 2012–2014 period as closing condition, OR negotiate specific indemnification escrow for asbestos claims with 10-year survival. Obtain full details on two open WC claims.</t>
        </is>
      </c>
      <c r="I16" s="17" t="inlineStr">
        <is>
          <t>Open</t>
        </is>
      </c>
      <c r="J16" s="18" t="inlineStr">
        <is>
          <t>Buyer Legal / Insurance</t>
        </is>
      </c>
      <c r="K16" s="18" t="inlineStr">
        <is>
          <t>Pre-Signing (Hard Condition)</t>
        </is>
      </c>
      <c r="L16" s="18" t="inlineStr">
        <is>
          <t>Asbestos-related bodily injury claims can emerge decades after exposure. The 2012–2014 coverage gap represents uninsured exposure that cannot be quantified at this time.</t>
        </is>
      </c>
    </row>
    <row r="17" ht="80" customHeight="1">
      <c r="A17" s="15" t="inlineStr">
        <is>
          <t>RF-15</t>
        </is>
      </c>
      <c r="B17" s="16" t="inlineStr">
        <is>
          <t>Human Capital / Governance</t>
        </is>
      </c>
      <c r="C17" s="16" t="inlineStr">
        <is>
          <t>CoC Severance $3.775M Unallocated + NLRB Petition Undisclosed</t>
        </is>
      </c>
      <c r="D17" s="10" t="inlineStr">
        <is>
          <t>High</t>
        </is>
      </c>
      <c r="E17" s="16" t="inlineStr">
        <is>
          <t>All 5 executive employment agreements contain CoC severance totaling $3.775M. Calloway brothers' agreements are SINGLE-TRIGGER — $2.625M payable within 30 days of closing regardless of post-closing employment. LOI does not address whether these are seller transaction expenses or buyer-borne costs. SEPARATELY: Employee Benefits Summary discloses (in a footnote) an NLRB election petition filed November 4, 2024 by Teamsters Local 455 covering 62 field technicians at Grand Junction and Casper — NOT disclosed in CIM or Litigation &amp; Regulatory Summary.</t>
        </is>
      </c>
      <c r="F17" s="16" t="inlineStr">
        <is>
          <t>$3.775M severance + potential unionization cost increase</t>
        </is>
      </c>
      <c r="G17" s="16" t="inlineStr">
        <is>
          <t>Employment Agreements Summary §8 and §11; QoE Executive Compensation tab (CoC note); Employee Benefits Summary §7 footnote 1</t>
        </is>
      </c>
      <c r="H17" s="16" t="inlineStr">
        <is>
          <t>Confirm $2.625M single-trigger severance is treated as seller transaction expense deducted from purchase price at closing. Obtain full details on NLRB petition and assess unionization risk. Confirm whether NLRB petition is a required disclosure under LOI conduct-of-business covenants.</t>
        </is>
      </c>
      <c r="I17" s="17" t="inlineStr">
        <is>
          <t>Open</t>
        </is>
      </c>
      <c r="J17" s="16" t="inlineStr">
        <is>
          <t>Buyer Legal / HR</t>
        </is>
      </c>
      <c r="K17" s="16" t="inlineStr">
        <is>
          <t>Pre-Signing</t>
        </is>
      </c>
      <c r="L17" s="16" t="inlineStr">
        <is>
          <t>NLRB petition covers 62 of ~210 field technicians at the two largest facilities. Unionization could materially increase labor costs and reduce operational flexibility. Non-disclosure in CIM and Litigation Summary is a significant omission.</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36"/>
  <sheetViews>
    <sheetView showGridLines="0" workbookViewId="0">
      <selection activeCell="A1" sqref="A1"/>
    </sheetView>
  </sheetViews>
  <sheetFormatPr baseColWidth="8" defaultRowHeight="15"/>
  <cols>
    <col width="3" customWidth="1" min="1" max="1"/>
    <col width="32" customWidth="1" min="2" max="2"/>
    <col width="18" customWidth="1" min="3" max="3"/>
    <col width="18" customWidth="1" min="4" max="4"/>
    <col width="18" customWidth="1" min="5" max="5"/>
    <col width="18" customWidth="1" min="6" max="6"/>
    <col width="18" customWidth="1" min="7" max="7"/>
    <col width="3" customWidth="1" min="8" max="8"/>
  </cols>
  <sheetData>
    <row r="1" ht="28" customHeight="1">
      <c r="B1" s="13" t="inlineStr">
        <is>
          <t>FINANCIAL OVERVIEW — KEY METRICS</t>
        </is>
      </c>
    </row>
    <row r="3" ht="20" customHeight="1">
      <c r="B3" s="19" t="inlineStr">
        <is>
          <t>INCOME STATEMENT SUMMARY</t>
        </is>
      </c>
    </row>
    <row r="4" ht="20" customHeight="1">
      <c r="B4" s="20" t="inlineStr">
        <is>
          <t>Metric ($000s)</t>
        </is>
      </c>
      <c r="C4" s="20" t="inlineStr">
        <is>
          <t>FY2020</t>
        </is>
      </c>
      <c r="D4" s="20" t="inlineStr">
        <is>
          <t>FY2021</t>
        </is>
      </c>
      <c r="E4" s="20" t="inlineStr">
        <is>
          <t>FY2022</t>
        </is>
      </c>
      <c r="F4" s="20" t="inlineStr">
        <is>
          <t>FY2023</t>
        </is>
      </c>
      <c r="G4" s="20" t="inlineStr">
        <is>
          <t>FY2024 TTM</t>
        </is>
      </c>
    </row>
    <row r="5" ht="18" customHeight="1">
      <c r="B5" s="21" t="inlineStr">
        <is>
          <t>Revenue</t>
        </is>
      </c>
      <c r="C5" s="22" t="n">
        <v>68400</v>
      </c>
      <c r="D5" s="22" t="n">
        <v>82150</v>
      </c>
      <c r="E5" s="22" t="n">
        <v>97800</v>
      </c>
      <c r="F5" s="22" t="n">
        <v>114600</v>
      </c>
      <c r="G5" s="22" t="n">
        <v>127300</v>
      </c>
    </row>
    <row r="6" ht="18" customHeight="1">
      <c r="B6" s="23" t="inlineStr">
        <is>
          <t>Gross Profit</t>
        </is>
      </c>
      <c r="C6" s="24" t="n">
        <v>23940</v>
      </c>
      <c r="D6" s="24" t="n">
        <v>29574</v>
      </c>
      <c r="E6" s="24" t="n">
        <v>34718</v>
      </c>
      <c r="F6" s="24" t="n">
        <v>41256</v>
      </c>
      <c r="G6" s="24" t="n">
        <v>44555</v>
      </c>
    </row>
    <row r="7" ht="18" customHeight="1">
      <c r="B7" s="16" t="inlineStr">
        <is>
          <t>Gross Margin %</t>
        </is>
      </c>
      <c r="C7" s="25" t="inlineStr">
        <is>
          <t>35.0%</t>
        </is>
      </c>
      <c r="D7" s="25" t="inlineStr">
        <is>
          <t>36.0%</t>
        </is>
      </c>
      <c r="E7" s="25" t="inlineStr">
        <is>
          <t>35.5%</t>
        </is>
      </c>
      <c r="F7" s="25" t="inlineStr">
        <is>
          <t>36.0%</t>
        </is>
      </c>
      <c r="G7" s="25" t="inlineStr">
        <is>
          <t>35.0%</t>
        </is>
      </c>
    </row>
    <row r="8" ht="18" customHeight="1">
      <c r="B8" s="23" t="inlineStr">
        <is>
          <t>Reported EBITDA</t>
        </is>
      </c>
      <c r="C8" s="24" t="n">
        <v>14364</v>
      </c>
      <c r="D8" s="24" t="n">
        <v>18473</v>
      </c>
      <c r="E8" s="24" t="n">
        <v>21025</v>
      </c>
      <c r="F8" s="24" t="n">
        <v>25212</v>
      </c>
      <c r="G8" s="24" t="n">
        <v>18400</v>
      </c>
    </row>
    <row r="9" ht="18" customHeight="1">
      <c r="B9" s="21" t="inlineStr">
        <is>
          <t>Reported EBITDA Margin %</t>
        </is>
      </c>
      <c r="C9" s="25" t="inlineStr">
        <is>
          <t>21.0%</t>
        </is>
      </c>
      <c r="D9" s="25" t="inlineStr">
        <is>
          <t>22.5%</t>
        </is>
      </c>
      <c r="E9" s="25" t="inlineStr">
        <is>
          <t>21.5%</t>
        </is>
      </c>
      <c r="F9" s="25" t="inlineStr">
        <is>
          <t>22.0%</t>
        </is>
      </c>
      <c r="G9" s="25" t="inlineStr">
        <is>
          <t>14.5%</t>
        </is>
      </c>
    </row>
    <row r="10" ht="18" customHeight="1">
      <c r="B10" s="23" t="inlineStr">
        <is>
          <t>Mgmt Adj. EBITDA</t>
        </is>
      </c>
      <c r="C10" s="26" t="inlineStr">
        <is>
          <t>—</t>
        </is>
      </c>
      <c r="D10" s="26" t="inlineStr">
        <is>
          <t>—</t>
        </is>
      </c>
      <c r="E10" s="24" t="n">
        <v>23215</v>
      </c>
      <c r="F10" s="24" t="n">
        <v>28087</v>
      </c>
      <c r="G10" s="27" t="n">
        <v>22800</v>
      </c>
    </row>
    <row r="11" ht="18" customHeight="1">
      <c r="B11" s="21" t="inlineStr">
        <is>
          <t>QoE Adj. EBITDA</t>
        </is>
      </c>
      <c r="C11" s="28" t="inlineStr">
        <is>
          <t>—</t>
        </is>
      </c>
      <c r="D11" s="28" t="inlineStr">
        <is>
          <t>—</t>
        </is>
      </c>
      <c r="E11" s="28" t="inlineStr">
        <is>
          <t>—</t>
        </is>
      </c>
      <c r="F11" s="28" t="inlineStr">
        <is>
          <t>—</t>
        </is>
      </c>
      <c r="G11" s="27" t="n">
        <v>23800</v>
      </c>
    </row>
    <row r="12" ht="18" customHeight="1">
      <c r="B12" s="23" t="inlineStr">
        <is>
          <t>Bank EBITDA (Credit Agmt)</t>
        </is>
      </c>
      <c r="C12" s="26" t="inlineStr">
        <is>
          <t>—</t>
        </is>
      </c>
      <c r="D12" s="26" t="inlineStr">
        <is>
          <t>—</t>
        </is>
      </c>
      <c r="E12" s="26" t="inlineStr">
        <is>
          <t>—</t>
        </is>
      </c>
      <c r="F12" s="26" t="inlineStr">
        <is>
          <t>—</t>
        </is>
      </c>
      <c r="G12" s="24" t="n">
        <v>18400</v>
      </c>
    </row>
    <row r="13" ht="18" customHeight="1">
      <c r="B13" s="16" t="inlineStr">
        <is>
          <t>Interest Expense</t>
        </is>
      </c>
      <c r="C13" s="22" t="n">
        <v>1026</v>
      </c>
      <c r="D13" s="22" t="n">
        <v>1232</v>
      </c>
      <c r="E13" s="22" t="n">
        <v>1956</v>
      </c>
      <c r="F13" s="22" t="n">
        <v>2862</v>
      </c>
      <c r="G13" s="22" t="n">
        <v>3096</v>
      </c>
    </row>
    <row r="14" ht="18" customHeight="1">
      <c r="B14" s="18" t="inlineStr">
        <is>
          <t>Net Income</t>
        </is>
      </c>
      <c r="C14" s="24" t="n">
        <v>6925</v>
      </c>
      <c r="D14" s="24" t="n">
        <v>9234</v>
      </c>
      <c r="E14" s="24" t="n">
        <v>9901</v>
      </c>
      <c r="F14" s="24" t="n">
        <v>11605</v>
      </c>
      <c r="G14" s="24" t="n">
        <v>11478</v>
      </c>
    </row>
    <row r="16" ht="20" customHeight="1">
      <c r="B16" s="19" t="inlineStr">
        <is>
          <t>EBITDA BRIDGE — FY2024 TTM</t>
        </is>
      </c>
    </row>
    <row r="17" ht="20" customHeight="1">
      <c r="B17" s="20" t="inlineStr">
        <is>
          <t>Item</t>
        </is>
      </c>
      <c r="C17" s="20" t="inlineStr">
        <is>
          <t>Amount ($000s)</t>
        </is>
      </c>
      <c r="D17" s="20" t="inlineStr">
        <is>
          <t>Classification</t>
        </is>
      </c>
      <c r="E17" s="20" t="inlineStr">
        <is>
          <t>Buyer Assessment</t>
        </is>
      </c>
    </row>
    <row r="18" ht="22" customHeight="1">
      <c r="B18" s="16" t="inlineStr">
        <is>
          <t>Reported EBITDA</t>
        </is>
      </c>
      <c r="C18" s="22" t="n">
        <v>18400</v>
      </c>
      <c r="D18" s="16" t="inlineStr">
        <is>
          <t>Starting Point</t>
        </is>
      </c>
      <c r="E18" s="16" t="inlineStr">
        <is>
          <t>Confirmed</t>
        </is>
      </c>
    </row>
    <row r="19" ht="22" customHeight="1">
      <c r="B19" s="18" t="inlineStr">
        <is>
          <t>+ Litigation Settlement (Clearwater)</t>
        </is>
      </c>
      <c r="C19" s="24" t="n">
        <v>1200</v>
      </c>
      <c r="D19" s="18" t="inlineStr">
        <is>
          <t>Non-Recurring</t>
        </is>
      </c>
      <c r="E19" s="29" t="inlineStr">
        <is>
          <t>⚠ GAIN, not cost — add-back inflates EBITDA</t>
        </is>
      </c>
    </row>
    <row r="20" ht="22" customHeight="1">
      <c r="B20" s="16" t="inlineStr">
        <is>
          <t>+ Owner Comp Normalization</t>
        </is>
      </c>
      <c r="C20" s="22" t="n">
        <v>950</v>
      </c>
      <c r="D20" s="16" t="inlineStr">
        <is>
          <t>Run-Rate Adj.</t>
        </is>
      </c>
      <c r="E20" s="30" t="inlineStr">
        <is>
          <t>⚠ Bonus component excluded from normalization</t>
        </is>
      </c>
    </row>
    <row r="21" ht="22" customHeight="1">
      <c r="B21" s="18" t="inlineStr">
        <is>
          <t>+ ERP Implementation Costs</t>
        </is>
      </c>
      <c r="C21" s="24" t="n">
        <v>650</v>
      </c>
      <c r="D21" s="18" t="inlineStr">
        <is>
          <t>Non-Recurring</t>
        </is>
      </c>
      <c r="E21" s="18" t="inlineStr">
        <is>
          <t>Reasonable; confirm Phase 2 completion</t>
        </is>
      </c>
    </row>
    <row r="22" ht="22" customHeight="1">
      <c r="B22" s="16" t="inlineStr">
        <is>
          <t>+ Pinnacle Integration Costs</t>
        </is>
      </c>
      <c r="C22" s="22" t="n">
        <v>800</v>
      </c>
      <c r="D22" s="16" t="inlineStr">
        <is>
          <t>Non-Recurring</t>
        </is>
      </c>
      <c r="E22" s="30" t="inlineStr">
        <is>
          <t>⚠ 2+ years post-close; integration 'complete'?</t>
        </is>
      </c>
    </row>
    <row r="23" ht="22" customHeight="1">
      <c r="B23" s="18" t="inlineStr">
        <is>
          <t>+ Asbestos Wind-Down Costs</t>
        </is>
      </c>
      <c r="C23" s="24" t="n">
        <v>1800</v>
      </c>
      <c r="D23" s="18" t="inlineStr">
        <is>
          <t>Non-Recurring</t>
        </is>
      </c>
      <c r="E23" s="18" t="inlineStr">
        <is>
          <t>Reasonable; confirm no further costs</t>
        </is>
      </c>
    </row>
    <row r="24" ht="22" customHeight="1">
      <c r="B24" s="21">
        <f> Mgmt Adj. EBITDA (CIM)</f>
        <v/>
      </c>
      <c r="C24" s="31" t="n">
        <v>22800</v>
      </c>
      <c r="D24" s="21" t="inlineStr">
        <is>
          <t>Management</t>
        </is>
      </c>
      <c r="E24" s="32" t="inlineStr">
        <is>
          <t>⚠ RECONCILIATION REQUIRED — QoE shows $23,800</t>
        </is>
      </c>
    </row>
    <row r="25" ht="22" customHeight="1">
      <c r="B25" s="23">
        <f> QoE Adj. EBITDA (Bridge tab)</f>
        <v/>
      </c>
      <c r="C25" s="33" t="n">
        <v>23800</v>
      </c>
      <c r="D25" s="23" t="inlineStr">
        <is>
          <t>QoE Schedule</t>
        </is>
      </c>
      <c r="E25" s="32" t="inlineStr">
        <is>
          <t>⚠ $1,000 gap vs. CIM — cause unidentified</t>
        </is>
      </c>
    </row>
    <row r="26" ht="22" customHeight="1">
      <c r="B26" s="21">
        <f> Bank EBITDA (Credit Agreement)</f>
        <v/>
      </c>
      <c r="C26" s="31" t="n">
        <v>18400</v>
      </c>
      <c r="D26" s="21" t="inlineStr">
        <is>
          <t>Covenant Basis</t>
        </is>
      </c>
      <c r="E26" s="21" t="inlineStr">
        <is>
          <t>Only $500K non-recurring add-backs permitted</t>
        </is>
      </c>
    </row>
    <row r="28" ht="20" customHeight="1">
      <c r="B28" s="19" t="inlineStr">
        <is>
          <t>LEVERAGE &amp; VALUATION SUMMARY</t>
        </is>
      </c>
    </row>
    <row r="29" ht="18" customHeight="1">
      <c r="B29" s="16" t="inlineStr">
        <is>
          <t>Total Debt (9/30/24)</t>
        </is>
      </c>
      <c r="C29" s="34" t="inlineStr">
        <is>
          <t>$38.7M</t>
        </is>
      </c>
      <c r="D29" s="35" t="inlineStr">
        <is>
          <t>Revolver $12.4M + Term Loan $26.3M</t>
        </is>
      </c>
    </row>
    <row r="30" ht="18" customHeight="1">
      <c r="B30" s="18" t="inlineStr">
        <is>
          <t>Leverage — Mgmt EBITDA</t>
        </is>
      </c>
      <c r="C30" s="36" t="inlineStr">
        <is>
          <t>1.70x</t>
        </is>
      </c>
      <c r="D30" s="37" t="inlineStr">
        <is>
          <t>$38.7M / $22.8M — management presentation</t>
        </is>
      </c>
    </row>
    <row r="31" ht="18" customHeight="1">
      <c r="B31" s="16" t="inlineStr">
        <is>
          <t>Leverage — Bank EBITDA</t>
        </is>
      </c>
      <c r="C31" s="34" t="inlineStr">
        <is>
          <t>2.10x</t>
        </is>
      </c>
      <c r="D31" s="35" t="inlineStr">
        <is>
          <t>$38.7M / $18.4M — covenant compliance basis</t>
        </is>
      </c>
    </row>
    <row r="32" ht="18" customHeight="1">
      <c r="B32" s="18" t="inlineStr">
        <is>
          <t>Max Leverage Covenant</t>
        </is>
      </c>
      <c r="C32" s="36" t="inlineStr">
        <is>
          <t>3.50x</t>
        </is>
      </c>
      <c r="D32" s="37" t="inlineStr">
        <is>
          <t>Headroom: 1.40x on bank EBITDA</t>
        </is>
      </c>
    </row>
    <row r="33" ht="18" customHeight="1">
      <c r="B33" s="16" t="inlineStr">
        <is>
          <t>Mandatory Prepayment at Close</t>
        </is>
      </c>
      <c r="C33" s="34" t="inlineStr">
        <is>
          <t>~$39.2M</t>
        </is>
      </c>
      <c r="D33" s="35" t="inlineStr">
        <is>
          <t>Principal + 1% prepayment premium on term loan</t>
        </is>
      </c>
    </row>
    <row r="34" ht="18" customHeight="1">
      <c r="B34" s="18" t="inlineStr">
        <is>
          <t>Indicative EV (LOI)</t>
        </is>
      </c>
      <c r="C34" s="36" t="inlineStr">
        <is>
          <t>$182–205M</t>
        </is>
      </c>
      <c r="D34" s="37" t="inlineStr">
        <is>
          <t>8.0x–9.0x × $22.8M Adj. EBITDA</t>
        </is>
      </c>
    </row>
    <row r="35" ht="18" customHeight="1">
      <c r="B35" s="16" t="inlineStr">
        <is>
          <t>EV at Bank EBITDA (8–9x)</t>
        </is>
      </c>
      <c r="C35" s="34" t="inlineStr">
        <is>
          <t>$147–166M</t>
        </is>
      </c>
      <c r="D35" s="35" t="inlineStr">
        <is>
          <t>Illustrative; not management's position</t>
        </is>
      </c>
    </row>
    <row r="36" ht="18" customHeight="1">
      <c r="B36" s="18" t="inlineStr">
        <is>
          <t>EV at DOE Downside (8–9x)</t>
        </is>
      </c>
      <c r="C36" s="36" t="inlineStr">
        <is>
          <t>$136–153M</t>
        </is>
      </c>
      <c r="D36" s="37" t="inlineStr">
        <is>
          <t>Illustrative; assumes $12.1M DOE revenue loss</t>
        </is>
      </c>
    </row>
  </sheetData>
  <mergeCells count="12">
    <mergeCell ref="B3:G3"/>
    <mergeCell ref="B16:G16"/>
    <mergeCell ref="D31:G31"/>
    <mergeCell ref="B28:G28"/>
    <mergeCell ref="D35:G35"/>
    <mergeCell ref="D36:G36"/>
    <mergeCell ref="B1:G1"/>
    <mergeCell ref="D30:G30"/>
    <mergeCell ref="D33:G33"/>
    <mergeCell ref="D34:G34"/>
    <mergeCell ref="D29:G29"/>
    <mergeCell ref="D32:G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15"/>
  <sheetViews>
    <sheetView showGridLines="0" workbookViewId="0">
      <selection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22" customWidth="1" min="7" max="7"/>
    <col width="30" customWidth="1" min="8" max="8"/>
    <col width="3" customWidth="1" min="9" max="9"/>
  </cols>
  <sheetData>
    <row r="1" ht="28" customHeight="1">
      <c r="B1" s="13" t="inlineStr">
        <is>
          <t>CONTINGENT LIABILITY REGISTER</t>
        </is>
      </c>
    </row>
    <row r="3" ht="22" customHeight="1">
      <c r="B3" s="14" t="inlineStr">
        <is>
          <t>Matter</t>
        </is>
      </c>
      <c r="C3" s="14" t="inlineStr">
        <is>
          <t>Status</t>
        </is>
      </c>
      <c r="D3" s="14" t="inlineStr">
        <is>
          <t>Probability</t>
        </is>
      </c>
      <c r="E3" s="14" t="inlineStr">
        <is>
          <t>Low Exposure</t>
        </is>
      </c>
      <c r="F3" s="14" t="inlineStr">
        <is>
          <t>High Exposure</t>
        </is>
      </c>
      <c r="G3" s="14" t="inlineStr">
        <is>
          <t>Accrual (9/30/24)</t>
        </is>
      </c>
      <c r="H3" s="14" t="inlineStr">
        <is>
          <t>Insurance Coverage</t>
        </is>
      </c>
      <c r="I3" s="14" t="inlineStr">
        <is>
          <t>Buyer Action</t>
        </is>
      </c>
    </row>
    <row r="4" ht="45" customHeight="1">
      <c r="B4" s="16" t="inlineStr">
        <is>
          <t>Harper Environmental (counterclaim)</t>
        </is>
      </c>
      <c r="C4" s="25" t="inlineStr">
        <is>
          <t>Pending</t>
        </is>
      </c>
      <c r="D4" s="38" t="inlineStr">
        <is>
          <t>Remote</t>
        </is>
      </c>
      <c r="E4" s="28" t="inlineStr">
        <is>
          <t>—</t>
        </is>
      </c>
      <c r="F4" s="39" t="n">
        <v>340000</v>
      </c>
      <c r="G4" s="28" t="inlineStr">
        <is>
          <t>$0</t>
        </is>
      </c>
      <c r="H4" s="16" t="inlineStr">
        <is>
          <t>CGL (if applicable)</t>
        </is>
      </c>
      <c r="I4" s="16" t="inlineStr">
        <is>
          <t>Monitor; no accrual needed</t>
        </is>
      </c>
    </row>
    <row r="5" ht="45" customHeight="1">
      <c r="B5" s="18" t="inlineStr">
        <is>
          <t>Ramirez v. RES (personal injury)</t>
        </is>
      </c>
      <c r="C5" s="40" t="inlineStr">
        <is>
          <t>Pending</t>
        </is>
      </c>
      <c r="D5" s="41" t="inlineStr">
        <is>
          <t>Reasonably Possible</t>
        </is>
      </c>
      <c r="E5" s="42" t="n">
        <v>500000</v>
      </c>
      <c r="F5" s="42" t="n">
        <v>1500000</v>
      </c>
      <c r="G5" s="26" t="inlineStr">
        <is>
          <t>$0</t>
        </is>
      </c>
      <c r="H5" s="43" t="inlineStr">
        <is>
          <t>⚠ Reservation of Rights — CGL &amp; PLL</t>
        </is>
      </c>
      <c r="I5" s="18" t="inlineStr">
        <is>
          <t>Specific indemnification escrow required</t>
        </is>
      </c>
    </row>
    <row r="6" ht="45" customHeight="1">
      <c r="B6" s="16" t="inlineStr">
        <is>
          <t>CDPHE Enforcement (CDPHE-HW-2024-0093)</t>
        </is>
      </c>
      <c r="C6" s="25" t="inlineStr">
        <is>
          <t>Admin. Negotiation</t>
        </is>
      </c>
      <c r="D6" s="44" t="inlineStr">
        <is>
          <t>Probable</t>
        </is>
      </c>
      <c r="E6" s="39" t="n">
        <v>200000</v>
      </c>
      <c r="F6" s="39" t="n">
        <v>1162500</v>
      </c>
      <c r="G6" s="28" t="inlineStr">
        <is>
          <t>$0</t>
        </is>
      </c>
      <c r="H6" s="16" t="inlineStr">
        <is>
          <t>Not covered (regulatory penalty)</t>
        </is>
      </c>
      <c r="I6" s="16" t="inlineStr">
        <is>
          <t>Require accrual; specific indemnification</t>
        </is>
      </c>
    </row>
    <row r="7" ht="45" customHeight="1">
      <c r="B7" s="18" t="inlineStr">
        <is>
          <t>Former Employee Wage Claim (FLSA)</t>
        </is>
      </c>
      <c r="C7" s="40" t="inlineStr">
        <is>
          <t>Threatened</t>
        </is>
      </c>
      <c r="D7" s="41" t="inlineStr">
        <is>
          <t>Reasonably Possible</t>
        </is>
      </c>
      <c r="E7" s="42" t="n">
        <v>100000</v>
      </c>
      <c r="F7" s="42" t="n">
        <v>200000</v>
      </c>
      <c r="G7" s="26" t="inlineStr">
        <is>
          <t>$0</t>
        </is>
      </c>
      <c r="H7" s="18" t="inlineStr">
        <is>
          <t>EPL (if applicable)</t>
        </is>
      </c>
      <c r="I7" s="18" t="inlineStr">
        <is>
          <t>Monitor; confirm EPL coverage</t>
        </is>
      </c>
    </row>
    <row r="8" ht="45" customHeight="1">
      <c r="B8" s="16" t="inlineStr">
        <is>
          <t>Grand Junction Remediation</t>
        </is>
      </c>
      <c r="C8" s="25" t="inlineStr">
        <is>
          <t>Future Obligation</t>
        </is>
      </c>
      <c r="D8" s="44" t="inlineStr">
        <is>
          <t>Probable</t>
        </is>
      </c>
      <c r="E8" s="39" t="n">
        <v>1800000</v>
      </c>
      <c r="F8" s="39" t="n">
        <v>2600000</v>
      </c>
      <c r="G8" s="39" t="n">
        <v>2200000</v>
      </c>
      <c r="H8" s="43" t="inlineStr">
        <is>
          <t>⚠ Gradual release EXCLUDED from PLL</t>
        </is>
      </c>
      <c r="I8" s="16" t="inlineStr">
        <is>
          <t>Updated Phase II ESA required; separate escrow</t>
        </is>
      </c>
    </row>
    <row r="9" ht="45" customHeight="1">
      <c r="B9" s="18" t="inlineStr">
        <is>
          <t>Asbestos Long-Tail Claims</t>
        </is>
      </c>
      <c r="C9" s="40" t="inlineStr">
        <is>
          <t>Potential Future</t>
        </is>
      </c>
      <c r="D9" s="38" t="inlineStr">
        <is>
          <t>Remote</t>
        </is>
      </c>
      <c r="E9" s="26" t="inlineStr">
        <is>
          <t>—</t>
        </is>
      </c>
      <c r="F9" s="26" t="inlineStr">
        <is>
          <t>—</t>
        </is>
      </c>
      <c r="G9" s="26" t="inlineStr">
        <is>
          <t>$0</t>
        </is>
      </c>
      <c r="H9" s="43" t="inlineStr">
        <is>
          <t>⚠ Pre-2015 work NOT covered; CGL excludes asbestos</t>
        </is>
      </c>
      <c r="I9" s="18" t="inlineStr">
        <is>
          <t>Tail policy or specific indemnification required</t>
        </is>
      </c>
    </row>
    <row r="10" ht="45" customHeight="1">
      <c r="B10" s="16" t="inlineStr">
        <is>
          <t>CoC Severance — Single Trigger (Calloways)</t>
        </is>
      </c>
      <c r="C10" s="25" t="inlineStr">
        <is>
          <t>Certain at Close</t>
        </is>
      </c>
      <c r="D10" s="44" t="inlineStr">
        <is>
          <t>Certain</t>
        </is>
      </c>
      <c r="E10" s="39" t="n">
        <v>2625000</v>
      </c>
      <c r="F10" s="39" t="n">
        <v>2625000</v>
      </c>
      <c r="G10" s="28" t="inlineStr">
        <is>
          <t>$0</t>
        </is>
      </c>
      <c r="H10" s="16" t="inlineStr">
        <is>
          <t>N/A</t>
        </is>
      </c>
      <c r="I10" s="16" t="inlineStr">
        <is>
          <t>Treat as seller transaction expense; deduct from purchase price</t>
        </is>
      </c>
    </row>
    <row r="11" ht="45" customHeight="1">
      <c r="B11" s="18" t="inlineStr">
        <is>
          <t>CoC Severance — Double Trigger (3 execs)</t>
        </is>
      </c>
      <c r="C11" s="40" t="inlineStr">
        <is>
          <t>Contingent</t>
        </is>
      </c>
      <c r="D11" s="41" t="inlineStr">
        <is>
          <t>Possible</t>
        </is>
      </c>
      <c r="E11" s="26" t="inlineStr">
        <is>
          <t>—</t>
        </is>
      </c>
      <c r="F11" s="42" t="n">
        <v>1150000</v>
      </c>
      <c r="G11" s="26" t="inlineStr">
        <is>
          <t>$0</t>
        </is>
      </c>
      <c r="H11" s="18" t="inlineStr">
        <is>
          <t>N/A</t>
        </is>
      </c>
      <c r="I11" s="18" t="inlineStr">
        <is>
          <t>Budget as potential post-closing obligation</t>
        </is>
      </c>
    </row>
    <row r="12" ht="45" customHeight="1">
      <c r="B12" s="16" t="inlineStr">
        <is>
          <t>NLRB Petition (Teamsters Local 455)</t>
        </is>
      </c>
      <c r="C12" s="25" t="inlineStr">
        <is>
          <t>Filed 11/4/24</t>
        </is>
      </c>
      <c r="D12" s="41" t="inlineStr">
        <is>
          <t>Possible</t>
        </is>
      </c>
      <c r="E12" s="28" t="inlineStr">
        <is>
          <t>—</t>
        </is>
      </c>
      <c r="F12" s="28" t="inlineStr">
        <is>
          <t>—</t>
        </is>
      </c>
      <c r="G12" s="28" t="inlineStr">
        <is>
          <t>$0</t>
        </is>
      </c>
      <c r="H12" s="16" t="inlineStr">
        <is>
          <t>N/A</t>
        </is>
      </c>
      <c r="I12" s="16" t="inlineStr">
        <is>
          <t>Obtain details; assess unionization cost impact</t>
        </is>
      </c>
    </row>
    <row r="13" ht="45" customHeight="1">
      <c r="B13" s="18" t="inlineStr">
        <is>
          <t>Vapor Intrusion — Grand Junction</t>
        </is>
      </c>
      <c r="C13" s="40" t="inlineStr">
        <is>
          <t>Unassessed</t>
        </is>
      </c>
      <c r="D13" s="45" t="inlineStr">
        <is>
          <t>Unknown</t>
        </is>
      </c>
      <c r="E13" s="26" t="inlineStr">
        <is>
          <t>—</t>
        </is>
      </c>
      <c r="F13" s="42" t="n">
        <v>500000</v>
      </c>
      <c r="G13" s="26" t="inlineStr">
        <is>
          <t>$0</t>
        </is>
      </c>
      <c r="H13" s="43" t="inlineStr">
        <is>
          <t>⚠ Gradual release EXCLUDED from PLL</t>
        </is>
      </c>
      <c r="I13" s="18" t="inlineStr">
        <is>
          <t>Commission vapor intrusion assessment immediately</t>
        </is>
      </c>
    </row>
    <row r="14" ht="45" customHeight="1">
      <c r="B14" s="16" t="inlineStr">
        <is>
          <t>Off-Site Plume Migration — Grand Junction</t>
        </is>
      </c>
      <c r="C14" s="25" t="inlineStr">
        <is>
          <t>Unassessed</t>
        </is>
      </c>
      <c r="D14" s="45" t="inlineStr">
        <is>
          <t>Unknown</t>
        </is>
      </c>
      <c r="E14" s="28" t="inlineStr">
        <is>
          <t>—</t>
        </is>
      </c>
      <c r="F14" s="39" t="n">
        <v>1000000</v>
      </c>
      <c r="G14" s="28" t="inlineStr">
        <is>
          <t>$0</t>
        </is>
      </c>
      <c r="H14" s="43" t="inlineStr">
        <is>
          <t>⚠ Gradual release EXCLUDED from PLL</t>
        </is>
      </c>
      <c r="I14" s="16" t="inlineStr">
        <is>
          <t>Install off-site monitoring wells; assess scope</t>
        </is>
      </c>
    </row>
    <row r="15" ht="30" customHeight="1">
      <c r="B15" s="46" t="inlineStr">
        <is>
          <t>TOTAL UNRESERVED CONTINGENT EXPOSURE (excl. asbestos, VI, off-site)</t>
        </is>
      </c>
      <c r="E15" s="47" t="n">
        <v>3225000</v>
      </c>
      <c r="F15" s="47" t="n">
        <v>7377500</v>
      </c>
      <c r="G15" s="48" t="n"/>
      <c r="H15" s="48" t="n"/>
      <c r="I15" s="48" t="n"/>
    </row>
  </sheetData>
  <mergeCells count="2">
    <mergeCell ref="B1:H1"/>
    <mergeCell ref="B15:D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H21"/>
  <sheetViews>
    <sheetView showGridLines="0" workbookViewId="0">
      <selection activeCell="A1" sqref="A1"/>
    </sheetView>
  </sheetViews>
  <sheetFormatPr baseColWidth="8" defaultRowHeight="15"/>
  <cols>
    <col width="3" customWidth="1" min="1" max="1"/>
    <col width="28" customWidth="1" min="2" max="2"/>
    <col width="14" customWidth="1" min="3" max="3"/>
    <col width="12" customWidth="1" min="4" max="4"/>
    <col width="20" customWidth="1" min="5" max="5"/>
    <col width="20" customWidth="1" min="6" max="6"/>
    <col width="20" customWidth="1" min="7" max="7"/>
    <col width="28" customWidth="1" min="8" max="8"/>
    <col width="3" customWidth="1" min="9" max="9"/>
  </cols>
  <sheetData>
    <row r="1" ht="28" customHeight="1">
      <c r="B1" s="13" t="inlineStr">
        <is>
          <t>CUSTOMER CONCENTRATION &amp; CONTRACT RISK</t>
        </is>
      </c>
    </row>
    <row r="3" ht="22" customHeight="1">
      <c r="B3" s="14" t="inlineStr">
        <is>
          <t>Customer</t>
        </is>
      </c>
      <c r="C3" s="14" t="inlineStr">
        <is>
          <t>TTM Revenue</t>
        </is>
      </c>
      <c r="D3" s="14" t="inlineStr">
        <is>
          <t>% of Total</t>
        </is>
      </c>
      <c r="E3" s="14" t="inlineStr">
        <is>
          <t>Contract Type</t>
        </is>
      </c>
      <c r="F3" s="14" t="inlineStr">
        <is>
          <t>Termination Notice</t>
        </is>
      </c>
      <c r="G3" s="14" t="inlineStr">
        <is>
          <t>CoC / Assignment Clause</t>
        </is>
      </c>
      <c r="H3" s="14" t="inlineStr">
        <is>
          <t>Key Risk</t>
        </is>
      </c>
    </row>
    <row r="4" ht="45" customHeight="1">
      <c r="B4" s="16" t="inlineStr">
        <is>
          <t>U.S. Department of Energy</t>
        </is>
      </c>
      <c r="C4" s="49" t="n">
        <v>24400000</v>
      </c>
      <c r="D4" s="25" t="inlineStr">
        <is>
          <t>19.2%</t>
        </is>
      </c>
      <c r="E4" s="16" t="inlineStr">
        <is>
          <t>IDIQ (5-yr)</t>
        </is>
      </c>
      <c r="F4" s="16" t="inlineStr">
        <is>
          <t>T4C per FAR 52.249-2</t>
        </is>
      </c>
      <c r="G4" s="16" t="inlineStr">
        <is>
          <t>Non-assignable; novation may be required; Clause H-12 notification</t>
        </is>
      </c>
      <c r="H4" s="50" t="inlineStr">
        <is>
          <t>⚠ CRITICAL: Ceiling exhaustion ~Apr 2025; $12.1M FY2025 headwind</t>
        </is>
      </c>
    </row>
    <row r="5" ht="45" customHeight="1">
      <c r="B5" s="18" t="inlineStr">
        <is>
          <t>Consolidated Mining &amp; Minerals</t>
        </is>
      </c>
      <c r="C5" s="51" t="n">
        <v>14500000</v>
      </c>
      <c r="D5" s="40" t="inlineStr">
        <is>
          <t>11.4%</t>
        </is>
      </c>
      <c r="E5" s="18" t="inlineStr">
        <is>
          <t>MSA (auto-renew)</t>
        </is>
      </c>
      <c r="F5" s="18" t="inlineStr">
        <is>
          <t>60-day T4C</t>
        </is>
      </c>
      <c r="G5" s="18" t="inlineStr">
        <is>
          <t>No assignment restriction</t>
        </is>
      </c>
      <c r="H5" s="18" t="inlineStr">
        <is>
          <t>60-day T4C; no minimum volumes; relationship since 2014</t>
        </is>
      </c>
    </row>
    <row r="6" ht="45" customHeight="1">
      <c r="B6" s="16" t="inlineStr">
        <is>
          <t>Western Slope Municipal Water Dist.</t>
        </is>
      </c>
      <c r="C6" s="49" t="n">
        <v>9800000</v>
      </c>
      <c r="D6" s="25" t="inlineStr">
        <is>
          <t>7.7%</t>
        </is>
      </c>
      <c r="E6" s="16" t="inlineStr">
        <is>
          <t>IQ Contract</t>
        </is>
      </c>
      <c r="F6" s="16" t="inlineStr">
        <is>
          <t>90-day T4C</t>
        </is>
      </c>
      <c r="G6" s="16" t="inlineStr">
        <is>
          <t>Written notice of ownership change required</t>
        </is>
      </c>
      <c r="H6" s="16" t="inlineStr">
        <is>
          <t>Stable municipal contract; 2 option years remaining</t>
        </is>
      </c>
    </row>
    <row r="7" ht="45" customHeight="1">
      <c r="B7" s="18" t="inlineStr">
        <is>
          <t>High Plains Energy Partners</t>
        </is>
      </c>
      <c r="C7" s="51" t="n">
        <v>8300000</v>
      </c>
      <c r="D7" s="40" t="inlineStr">
        <is>
          <t>6.5%</t>
        </is>
      </c>
      <c r="E7" s="18" t="inlineStr">
        <is>
          <t>MSA (auto-renew)</t>
        </is>
      </c>
      <c r="F7" s="18" t="inlineStr">
        <is>
          <t>90-day T4C</t>
        </is>
      </c>
      <c r="G7" s="18" t="inlineStr">
        <is>
          <t>No explicit assignment clause</t>
        </is>
      </c>
      <c r="H7" s="18" t="inlineStr">
        <is>
          <t>Oil &amp; gas; revenue tied to drilling activity</t>
        </is>
      </c>
    </row>
    <row r="8" ht="45" customHeight="1">
      <c r="B8" s="16" t="inlineStr">
        <is>
          <t>Intermountain Health Systems</t>
        </is>
      </c>
      <c r="C8" s="49" t="n">
        <v>7100000</v>
      </c>
      <c r="D8" s="25" t="inlineStr">
        <is>
          <t>5.6%</t>
        </is>
      </c>
      <c r="E8" s="16" t="inlineStr">
        <is>
          <t>Fixed-Price</t>
        </is>
      </c>
      <c r="F8" s="16" t="inlineStr">
        <is>
          <t>120-day T4C</t>
        </is>
      </c>
      <c r="G8" s="16" t="inlineStr">
        <is>
          <t>Assignment requires prior written consent; 60-day CoC notice</t>
        </is>
      </c>
      <c r="H8" s="43" t="inlineStr">
        <is>
          <t>⚠ Renewal option not yet exercised; decision due Feb 2025</t>
        </is>
      </c>
    </row>
    <row r="9" ht="45" customHeight="1">
      <c r="B9" s="18" t="inlineStr">
        <is>
          <t>Wasatch Front Petroleum Refining</t>
        </is>
      </c>
      <c r="C9" s="51" t="n">
        <v>6400000</v>
      </c>
      <c r="D9" s="40" t="inlineStr">
        <is>
          <t>5.0%</t>
        </is>
      </c>
      <c r="E9" s="18" t="inlineStr">
        <is>
          <t>MSA (Pinnacle legacy)</t>
        </is>
      </c>
      <c r="F9" s="18" t="inlineStr">
        <is>
          <t>30-day T4C</t>
        </is>
      </c>
      <c r="G9" s="18" t="inlineStr">
        <is>
          <t>No explicit CoC clause; Pinnacle legacy contract</t>
        </is>
      </c>
      <c r="H9" s="43" t="inlineStr">
        <is>
          <t>⚠ Served from SLC facility — lease consent issue (RF-10)</t>
        </is>
      </c>
    </row>
    <row r="10" ht="45" customHeight="1">
      <c r="B10" s="16" t="inlineStr">
        <is>
          <t>Silver Creek Mining Co.</t>
        </is>
      </c>
      <c r="C10" s="49" t="n">
        <v>5800000</v>
      </c>
      <c r="D10" s="25" t="inlineStr">
        <is>
          <t>4.6%</t>
        </is>
      </c>
      <c r="E10" s="16" t="inlineStr">
        <is>
          <t>MSA (Pinnacle legacy)</t>
        </is>
      </c>
      <c r="F10" s="16" t="inlineStr">
        <is>
          <t>60-day T4C</t>
        </is>
      </c>
      <c r="G10" s="16" t="inlineStr">
        <is>
          <t>No assignment restriction</t>
        </is>
      </c>
      <c r="H10" s="43" t="inlineStr">
        <is>
          <t>⚠ Served from SLC facility — lease consent issue (RF-10)</t>
        </is>
      </c>
    </row>
    <row r="11" ht="45" customHeight="1">
      <c r="B11" s="18" t="inlineStr">
        <is>
          <t>Utah Dept. of Environmental Quality</t>
        </is>
      </c>
      <c r="C11" s="51" t="n">
        <v>4600000</v>
      </c>
      <c r="D11" s="40" t="inlineStr">
        <is>
          <t>3.6%</t>
        </is>
      </c>
      <c r="E11" s="18" t="inlineStr">
        <is>
          <t>State Contract</t>
        </is>
      </c>
      <c r="F11" s="18" t="inlineStr">
        <is>
          <t>30-day T4C</t>
        </is>
      </c>
      <c r="G11" s="18" t="inlineStr">
        <is>
          <t>State reserves right to terminate if CoC affects qualifications</t>
        </is>
      </c>
      <c r="H11" s="43" t="inlineStr">
        <is>
          <t>⚠ Served from SLC facility — lease consent issue (RF-10)</t>
        </is>
      </c>
    </row>
    <row r="12" ht="45" customHeight="1">
      <c r="B12" s="16" t="inlineStr">
        <is>
          <t>Rocky Mountain Pipeline Systems</t>
        </is>
      </c>
      <c r="C12" s="49" t="n">
        <v>4200000</v>
      </c>
      <c r="D12" s="25" t="inlineStr">
        <is>
          <t>3.3%</t>
        </is>
      </c>
      <c r="E12" s="16" t="inlineStr">
        <is>
          <t>MSA (auto-renew)</t>
        </is>
      </c>
      <c r="F12" s="16" t="inlineStr">
        <is>
          <t>90-day T4C</t>
        </is>
      </c>
      <c r="G12" s="16" t="inlineStr">
        <is>
          <t>Assignment requires prior written consent; 30-day CoC notification</t>
        </is>
      </c>
      <c r="H12" s="16" t="inlineStr">
        <is>
          <t>Event-driven revenue; slight FY2024 decline</t>
        </is>
      </c>
    </row>
    <row r="13" ht="45" customHeight="1">
      <c r="B13" s="18" t="inlineStr">
        <is>
          <t>Bridger Valley Ranches</t>
        </is>
      </c>
      <c r="C13" s="51" t="n">
        <v>4100000</v>
      </c>
      <c r="D13" s="40" t="inlineStr">
        <is>
          <t>3.2%</t>
        </is>
      </c>
      <c r="E13" s="18" t="inlineStr">
        <is>
          <t>Fixed-Price</t>
        </is>
      </c>
      <c r="F13" s="18" t="inlineStr">
        <is>
          <t>No T4C</t>
        </is>
      </c>
      <c r="G13" s="18" t="inlineStr">
        <is>
          <t>No assignment without mutual written consent</t>
        </is>
      </c>
      <c r="H13" s="18" t="inlineStr">
        <is>
          <t>Fixed-price remediation; milestone billing; no T4C</t>
        </is>
      </c>
    </row>
    <row r="15" ht="20" customHeight="1">
      <c r="B15" s="19" t="inlineStr">
        <is>
          <t>CONCENTRATION SUMMARY</t>
        </is>
      </c>
    </row>
    <row r="16" ht="20" customHeight="1">
      <c r="B16" s="16" t="inlineStr">
        <is>
          <t>Top 1 Customer (DOE)</t>
        </is>
      </c>
      <c r="C16" s="34" t="inlineStr">
        <is>
          <t>19.2%</t>
        </is>
      </c>
      <c r="D16" s="35" t="inlineStr">
        <is>
          <t>Elevated — approaching 20% high-risk threshold; compounded by ceiling exhaustion</t>
        </is>
      </c>
    </row>
    <row r="17" ht="20" customHeight="1">
      <c r="B17" s="16" t="inlineStr">
        <is>
          <t>Top 2 Customers</t>
        </is>
      </c>
      <c r="C17" s="34" t="inlineStr">
        <is>
          <t>30.6%</t>
        </is>
      </c>
      <c r="D17" s="35" t="inlineStr">
        <is>
          <t>Elevated</t>
        </is>
      </c>
    </row>
    <row r="18" ht="20" customHeight="1">
      <c r="B18" s="16" t="inlineStr">
        <is>
          <t>Top 5 Customers</t>
        </is>
      </c>
      <c r="C18" s="34" t="inlineStr">
        <is>
          <t>50.4%</t>
        </is>
      </c>
      <c r="D18" s="35" t="inlineStr">
        <is>
          <t>High — exceeds 40% preferred threshold</t>
        </is>
      </c>
    </row>
    <row r="19" ht="20" customHeight="1">
      <c r="B19" s="16" t="inlineStr">
        <is>
          <t>Top 10 Customers</t>
        </is>
      </c>
      <c r="C19" s="34" t="inlineStr">
        <is>
          <t>67.0%</t>
        </is>
      </c>
      <c r="D19" s="35" t="inlineStr">
        <is>
          <t>High — exceeds 50% preferred threshold</t>
        </is>
      </c>
    </row>
    <row r="20" ht="20" customHeight="1">
      <c r="B20" s="16" t="inlineStr">
        <is>
          <t>Govt Revenue (Fed+State+Muni)</t>
        </is>
      </c>
      <c r="C20" s="34" t="inlineStr">
        <is>
          <t>35.8%</t>
        </is>
      </c>
      <c r="D20" s="35" t="inlineStr">
        <is>
          <t>Moderate — stable but carries assignment/novation risk</t>
        </is>
      </c>
    </row>
    <row r="21" ht="20" customHeight="1">
      <c r="B21" s="16" t="inlineStr">
        <is>
          <t>SLC Facility Revenue</t>
        </is>
      </c>
      <c r="C21" s="34" t="inlineStr">
        <is>
          <t>~12.7%</t>
        </is>
      </c>
      <c r="D21" s="30" t="inlineStr">
        <is>
          <t>⚠ At risk from unresolved lease consent (RF-10)</t>
        </is>
      </c>
    </row>
  </sheetData>
  <mergeCells count="8">
    <mergeCell ref="D21:H21"/>
    <mergeCell ref="D20:H20"/>
    <mergeCell ref="D16:H16"/>
    <mergeCell ref="B1:H1"/>
    <mergeCell ref="D19:H19"/>
    <mergeCell ref="B15:H15"/>
    <mergeCell ref="D18:H18"/>
    <mergeCell ref="D17:H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G21"/>
  <sheetViews>
    <sheetView showGridLines="0" workbookViewId="0">
      <selection activeCell="A1" sqref="A1"/>
    </sheetView>
  </sheetViews>
  <sheetFormatPr baseColWidth="8" defaultRowHeight="15"/>
  <cols>
    <col width="3" customWidth="1" min="1" max="1"/>
    <col width="5" customWidth="1" min="2" max="2"/>
    <col width="42" customWidth="1" min="3" max="3"/>
    <col width="14" customWidth="1" min="4" max="4"/>
    <col width="18" customWidth="1" min="5" max="5"/>
    <col width="16" customWidth="1" min="6" max="6"/>
    <col width="16" customWidth="1" min="7" max="7"/>
    <col width="3" customWidth="1" min="8" max="8"/>
  </cols>
  <sheetData>
    <row r="1" ht="28" customHeight="1">
      <c r="B1" s="13" t="inlineStr">
        <is>
          <t>PRE-SIGNING ACTION CHECKLIST</t>
        </is>
      </c>
    </row>
    <row r="3" ht="22" customHeight="1">
      <c r="B3" s="14" t="inlineStr">
        <is>
          <t>#</t>
        </is>
      </c>
      <c r="C3" s="14" t="inlineStr">
        <is>
          <t>Action Item</t>
        </is>
      </c>
      <c r="D3" s="14" t="inlineStr">
        <is>
          <t>Priority</t>
        </is>
      </c>
      <c r="E3" s="14" t="inlineStr">
        <is>
          <t>Owner</t>
        </is>
      </c>
      <c r="F3" s="14" t="inlineStr">
        <is>
          <t>Target Date</t>
        </is>
      </c>
      <c r="G3" s="14" t="inlineStr">
        <is>
          <t>Status</t>
        </is>
      </c>
    </row>
    <row r="4" ht="45" customHeight="1">
      <c r="B4" s="25" t="inlineStr">
        <is>
          <t>1</t>
        </is>
      </c>
      <c r="C4" s="16" t="inlineStr">
        <is>
          <t>Demand fully reconciled EBITDA bridge signed by CFO and QoE firm; confirm which figure Bridgewater Forsyth Group is using</t>
        </is>
      </c>
      <c r="D4" s="9" t="inlineStr">
        <is>
          <t>Critical</t>
        </is>
      </c>
      <c r="E4" s="16" t="inlineStr">
        <is>
          <t>Buyer Financial Advisor</t>
        </is>
      </c>
      <c r="F4" s="25" t="inlineStr">
        <is>
          <t>Immediate</t>
        </is>
      </c>
      <c r="G4" s="17" t="inlineStr">
        <is>
          <t>Open</t>
        </is>
      </c>
    </row>
    <row r="5" ht="45" customHeight="1">
      <c r="B5" s="40" t="inlineStr">
        <is>
          <t>2</t>
        </is>
      </c>
      <c r="C5" s="18" t="inlineStr">
        <is>
          <t>Commission updated Phase II ESA for Grand Junction HQ including vapor intrusion assessment and off-site monitoring wells</t>
        </is>
      </c>
      <c r="D5" s="9" t="inlineStr">
        <is>
          <t>Critical</t>
        </is>
      </c>
      <c r="E5" s="18" t="inlineStr">
        <is>
          <t>Buyer Env. Counsel</t>
        </is>
      </c>
      <c r="F5" s="40" t="inlineStr">
        <is>
          <t>Immediate</t>
        </is>
      </c>
      <c r="G5" s="17" t="inlineStr">
        <is>
          <t>Open</t>
        </is>
      </c>
    </row>
    <row r="6" ht="45" customHeight="1">
      <c r="B6" s="25" t="inlineStr">
        <is>
          <t>3</t>
        </is>
      </c>
      <c r="C6" s="16" t="inlineStr">
        <is>
          <t>Contact DOE Contracting Officer to confirm novation requirements and ceiling modification prospects; obtain written comfort on contract continuity</t>
        </is>
      </c>
      <c r="D6" s="9" t="inlineStr">
        <is>
          <t>Critical</t>
        </is>
      </c>
      <c r="E6" s="16" t="inlineStr">
        <is>
          <t>Buyer Legal / BD</t>
        </is>
      </c>
      <c r="F6" s="25" t="inlineStr">
        <is>
          <t>Immediate</t>
        </is>
      </c>
      <c r="G6" s="17" t="inlineStr">
        <is>
          <t>Open</t>
        </is>
      </c>
    </row>
    <row r="7" ht="45" customHeight="1">
      <c r="B7" s="40" t="inlineStr">
        <is>
          <t>4</t>
        </is>
      </c>
      <c r="C7" s="18" t="inlineStr">
        <is>
          <t>Initiate Salt Lake City landlord consent process for both Pinnacle-to-RES assignment and Sycamore acquisition; make hard closing condition</t>
        </is>
      </c>
      <c r="D7" s="9" t="inlineStr">
        <is>
          <t>Critical</t>
        </is>
      </c>
      <c r="E7" s="18" t="inlineStr">
        <is>
          <t>Buyer Legal</t>
        </is>
      </c>
      <c r="F7" s="40" t="inlineStr">
        <is>
          <t>Immediate</t>
        </is>
      </c>
      <c r="G7" s="17" t="inlineStr">
        <is>
          <t>Open</t>
        </is>
      </c>
    </row>
    <row r="8" ht="45" customHeight="1">
      <c r="B8" s="25" t="inlineStr">
        <is>
          <t>5</t>
        </is>
      </c>
      <c r="C8" s="16" t="inlineStr">
        <is>
          <t>Complete Utah Hazardous Waste Permit UTH-0441 transfer from Pinnacle Waste Solutions, LLC to RES; make hard closing condition</t>
        </is>
      </c>
      <c r="D8" s="9" t="inlineStr">
        <is>
          <t>Critical</t>
        </is>
      </c>
      <c r="E8" s="16" t="inlineStr">
        <is>
          <t>Buyer Legal / Ops</t>
        </is>
      </c>
      <c r="F8" s="25" t="inlineStr">
        <is>
          <t>Pre-Signing</t>
        </is>
      </c>
      <c r="G8" s="17" t="inlineStr">
        <is>
          <t>Open</t>
        </is>
      </c>
    </row>
    <row r="9" ht="45" customHeight="1">
      <c r="B9" s="40" t="inlineStr">
        <is>
          <t>6</t>
        </is>
      </c>
      <c r="C9" s="18" t="inlineStr">
        <is>
          <t>Obtain full details on NLRB election petition (Teamsters Local 455, filed 11/4/24); assess unionization risk and cost impact; confirm LOI disclosure obligation</t>
        </is>
      </c>
      <c r="D9" s="10" t="inlineStr">
        <is>
          <t>High</t>
        </is>
      </c>
      <c r="E9" s="18" t="inlineStr">
        <is>
          <t>Buyer Legal / HR</t>
        </is>
      </c>
      <c r="F9" s="40" t="inlineStr">
        <is>
          <t>Immediate</t>
        </is>
      </c>
      <c r="G9" s="17" t="inlineStr">
        <is>
          <t>Open</t>
        </is>
      </c>
    </row>
    <row r="10" ht="45" customHeight="1">
      <c r="B10" s="25" t="inlineStr">
        <is>
          <t>7</t>
        </is>
      </c>
      <c r="C10" s="16" t="inlineStr">
        <is>
          <t>Require seller to accrue CDPHE penalty exposure at midpoint ($325K) and Ramirez claim; negotiate specific indemnification with separate escrow</t>
        </is>
      </c>
      <c r="D10" s="10" t="inlineStr">
        <is>
          <t>High</t>
        </is>
      </c>
      <c r="E10" s="16" t="inlineStr">
        <is>
          <t>Buyer Legal</t>
        </is>
      </c>
      <c r="F10" s="25" t="inlineStr">
        <is>
          <t>Pre-Signing</t>
        </is>
      </c>
      <c r="G10" s="17" t="inlineStr">
        <is>
          <t>Open</t>
        </is>
      </c>
    </row>
    <row r="11" ht="45" customHeight="1">
      <c r="B11" s="40" t="inlineStr">
        <is>
          <t>8</t>
        </is>
      </c>
      <c r="C11" s="18" t="inlineStr">
        <is>
          <t>Confirm $2.625M single-trigger Calloway severance is treated as seller transaction expense deducted from purchase price at closing</t>
        </is>
      </c>
      <c r="D11" s="10" t="inlineStr">
        <is>
          <t>High</t>
        </is>
      </c>
      <c r="E11" s="18" t="inlineStr">
        <is>
          <t>Buyer Legal</t>
        </is>
      </c>
      <c r="F11" s="40" t="inlineStr">
        <is>
          <t>Pre-Signing</t>
        </is>
      </c>
      <c r="G11" s="17" t="inlineStr">
        <is>
          <t>Open</t>
        </is>
      </c>
    </row>
    <row r="12" ht="45" customHeight="1">
      <c r="B12" s="25" t="inlineStr">
        <is>
          <t>9</t>
        </is>
      </c>
      <c r="C12" s="16" t="inlineStr">
        <is>
          <t>Commission independent fleet appraisal; require 3-year fleet replacement schedule; recast FCF model with realistic maintenance capex ($6.5–7.5M/year)</t>
        </is>
      </c>
      <c r="D12" s="10" t="inlineStr">
        <is>
          <t>High</t>
        </is>
      </c>
      <c r="E12" s="16" t="inlineStr">
        <is>
          <t>Buyer Ops Advisor</t>
        </is>
      </c>
      <c r="F12" s="25" t="inlineStr">
        <is>
          <t>Pre-Signing</t>
        </is>
      </c>
      <c r="G12" s="17" t="inlineStr">
        <is>
          <t>Open</t>
        </is>
      </c>
    </row>
    <row r="13" ht="45" customHeight="1">
      <c r="B13" s="40" t="inlineStr">
        <is>
          <t>10</t>
        </is>
      </c>
      <c r="C13" s="18" t="inlineStr">
        <is>
          <t>Stress-test valuation at bank-definition EBITDA ($18.4M) and with DOE revenue headwind scenario ($12.1M reduction); confirm EV range is supportable</t>
        </is>
      </c>
      <c r="D13" s="10" t="inlineStr">
        <is>
          <t>High</t>
        </is>
      </c>
      <c r="E13" s="18" t="inlineStr">
        <is>
          <t>Buyer Financial Advisor</t>
        </is>
      </c>
      <c r="F13" s="40" t="inlineStr">
        <is>
          <t>Pre-Signing</t>
        </is>
      </c>
      <c r="G13" s="17" t="inlineStr">
        <is>
          <t>Open</t>
        </is>
      </c>
    </row>
    <row r="14" ht="45" customHeight="1">
      <c r="B14" s="25" t="inlineStr">
        <is>
          <t>11</t>
        </is>
      </c>
      <c r="C14" s="16" t="inlineStr">
        <is>
          <t>Obtain Wyoming DEQ written confirmation of timely renewal status for Permit WY-HW-2019-033; make renewal a closing condition or obtain lender waiver</t>
        </is>
      </c>
      <c r="D14" s="10" t="inlineStr">
        <is>
          <t>High</t>
        </is>
      </c>
      <c r="E14" s="16" t="inlineStr">
        <is>
          <t>Buyer Legal / Ops</t>
        </is>
      </c>
      <c r="F14" s="25" t="inlineStr">
        <is>
          <t>Pre-Signing</t>
        </is>
      </c>
      <c r="G14" s="17" t="inlineStr">
        <is>
          <t>Open</t>
        </is>
      </c>
    </row>
    <row r="15" ht="45" customHeight="1">
      <c r="B15" s="40" t="inlineStr">
        <is>
          <t>12</t>
        </is>
      </c>
      <c r="C15" s="18" t="inlineStr">
        <is>
          <t>Require seller to procure asbestos completed operations tail policy covering 2012–2014 period OR negotiate specific indemnification escrow with 10-year survival</t>
        </is>
      </c>
      <c r="D15" s="10" t="inlineStr">
        <is>
          <t>High</t>
        </is>
      </c>
      <c r="E15" s="18" t="inlineStr">
        <is>
          <t>Buyer Legal / Insurance</t>
        </is>
      </c>
      <c r="F15" s="40" t="inlineStr">
        <is>
          <t>Pre-Signing</t>
        </is>
      </c>
      <c r="G15" s="17" t="inlineStr">
        <is>
          <t>Open</t>
        </is>
      </c>
    </row>
    <row r="16" ht="45" customHeight="1">
      <c r="B16" s="25" t="inlineStr">
        <is>
          <t>13</t>
        </is>
      </c>
      <c r="C16" s="16" t="inlineStr">
        <is>
          <t>Obtain copies of Frontier Specialty reservation of rights letter and coverage analysis for Ramirez claim; assess uninsured exposure</t>
        </is>
      </c>
      <c r="D16" s="10" t="inlineStr">
        <is>
          <t>High</t>
        </is>
      </c>
      <c r="E16" s="16" t="inlineStr">
        <is>
          <t>Buyer Legal</t>
        </is>
      </c>
      <c r="F16" s="25" t="inlineStr">
        <is>
          <t>Pre-Signing</t>
        </is>
      </c>
      <c r="G16" s="17" t="inlineStr">
        <is>
          <t>Open</t>
        </is>
      </c>
    </row>
    <row r="17" ht="45" customHeight="1">
      <c r="B17" s="40" t="inlineStr">
        <is>
          <t>14</t>
        </is>
      </c>
      <c r="C17" s="18" t="inlineStr">
        <is>
          <t>Prepare lease consent matrix; begin landlord outreach for all 7 leases requiring consent; negotiate Pueblo Storage Yard renewal before closing</t>
        </is>
      </c>
      <c r="D17" s="10" t="inlineStr">
        <is>
          <t>High</t>
        </is>
      </c>
      <c r="E17" s="18" t="inlineStr">
        <is>
          <t>Buyer Legal</t>
        </is>
      </c>
      <c r="F17" s="40" t="inlineStr">
        <is>
          <t>Pre-Signing</t>
        </is>
      </c>
      <c r="G17" s="17" t="inlineStr">
        <is>
          <t>Open</t>
        </is>
      </c>
    </row>
    <row r="18" ht="45" customHeight="1">
      <c r="B18" s="25" t="inlineStr">
        <is>
          <t>15</t>
        </is>
      </c>
      <c r="C18" s="16" t="inlineStr">
        <is>
          <t>Conduct customer reference calls with top 5 customers; confirm no customer has been notified of transaction or is contemplating non-renewal</t>
        </is>
      </c>
      <c r="D18" s="10" t="inlineStr">
        <is>
          <t>High</t>
        </is>
      </c>
      <c r="E18" s="16" t="inlineStr">
        <is>
          <t>Buyer BD</t>
        </is>
      </c>
      <c r="F18" s="25" t="inlineStr">
        <is>
          <t>Pre-Signing</t>
        </is>
      </c>
      <c r="G18" s="17" t="inlineStr">
        <is>
          <t>Open</t>
        </is>
      </c>
    </row>
    <row r="19" ht="45" customHeight="1">
      <c r="B19" s="40" t="inlineStr">
        <is>
          <t>16</t>
        </is>
      </c>
      <c r="C19" s="18" t="inlineStr">
        <is>
          <t>Obtain FY2025 management budget; compare to adjusted EBITDA trajectory; confirm ERP Phase 2 completion timeline and remaining cost exposure</t>
        </is>
      </c>
      <c r="D19" s="11" t="inlineStr">
        <is>
          <t>Medium</t>
        </is>
      </c>
      <c r="E19" s="18" t="inlineStr">
        <is>
          <t>Buyer Financial Advisor</t>
        </is>
      </c>
      <c r="F19" s="40" t="inlineStr">
        <is>
          <t>Pre-Signing</t>
        </is>
      </c>
      <c r="G19" s="17" t="inlineStr">
        <is>
          <t>Open</t>
        </is>
      </c>
    </row>
    <row r="20" ht="45" customHeight="1">
      <c r="B20" s="25" t="inlineStr">
        <is>
          <t>17</t>
        </is>
      </c>
      <c r="C20" s="16" t="inlineStr">
        <is>
          <t>Negotiate specific environmental indemnification provisions with separate escrow and 6-year survival for Grand Junction remediation, CDPHE enforcement, and asbestos exposure</t>
        </is>
      </c>
      <c r="D20" s="10" t="inlineStr">
        <is>
          <t>High</t>
        </is>
      </c>
      <c r="E20" s="16" t="inlineStr">
        <is>
          <t>Buyer Legal</t>
        </is>
      </c>
      <c r="F20" s="25" t="inlineStr">
        <is>
          <t>SPA Drafting</t>
        </is>
      </c>
      <c r="G20" s="17" t="inlineStr">
        <is>
          <t>Open</t>
        </is>
      </c>
    </row>
    <row r="21" ht="45" customHeight="1">
      <c r="B21" s="40" t="inlineStr">
        <is>
          <t>18</t>
        </is>
      </c>
      <c r="C21" s="18" t="inlineStr">
        <is>
          <t>Confirm lender (High Plains National Bank) payoff/refinancing arrangements; obtain payoff letter; confirm prepayment premium (~$263K on term loan)</t>
        </is>
      </c>
      <c r="D21" s="11" t="inlineStr">
        <is>
          <t>Medium</t>
        </is>
      </c>
      <c r="E21" s="18" t="inlineStr">
        <is>
          <t>Buyer Financial Advisor</t>
        </is>
      </c>
      <c r="F21" s="40" t="inlineStr">
        <is>
          <t>Pre-Signing</t>
        </is>
      </c>
      <c r="G21" s="17" t="inlineStr">
        <is>
          <t>Open</t>
        </is>
      </c>
    </row>
  </sheetData>
  <mergeCells count="1">
    <mergeCell ref="B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2026-08-25T11:07:48Z</dcterms:created>
  <dcterms:modified xmlns:dcterms="http://purl.org/dc/terms/" xmlns:xsi="http://www.w3.org/2001/XMLSchema-instance" xsi:type="dcterms:W3CDTF">2026-08-25T11:07:48Z</dcterms:modified>
</cp:coreProperties>
</file>